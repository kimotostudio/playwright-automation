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1" sheetId="1" r:id="rId5"/>
    <sheet state="visible" name="Main2" sheetId="2" r:id="rId6"/>
    <sheet state="visible" name="福岡1" sheetId="3" r:id="rId7"/>
    <sheet state="visible" name="Sheet5" sheetId="4" r:id="rId8"/>
    <sheet state="visible" name="福岡2" sheetId="5" r:id="rId9"/>
    <sheet state="visible" name="愛知" sheetId="6" r:id="rId10"/>
    <sheet state="visible" name="東北" sheetId="7" r:id="rId11"/>
  </sheets>
  <definedNames/>
  <calcPr/>
</workbook>
</file>

<file path=xl/sharedStrings.xml><?xml version="1.0" encoding="utf-8"?>
<sst xmlns="http://schemas.openxmlformats.org/spreadsheetml/2006/main" count="1687" uniqueCount="1292">
  <si>
    <t>id</t>
  </si>
  <si>
    <t>店名</t>
  </si>
  <si>
    <t>メアド</t>
  </si>
  <si>
    <t>Unnamed: 3</t>
  </si>
  <si>
    <t>url(旧)</t>
  </si>
  <si>
    <t>url(デモ)</t>
  </si>
  <si>
    <t>url(完成)</t>
  </si>
  <si>
    <t>id.1</t>
  </si>
  <si>
    <t>password</t>
  </si>
  <si>
    <t>ステータス(0-4)</t>
  </si>
  <si>
    <t>0 送る前</t>
  </si>
  <si>
    <t>idは01100から</t>
  </si>
  <si>
    <t xml:space="preserve">デモ問題あり：D   </t>
  </si>
  <si>
    <t>https://kimotostudio12.netlify.app/01100b</t>
  </si>
  <si>
    <t>https://kimotostudio12.netlify.app/01101b</t>
  </si>
  <si>
    <t>D</t>
  </si>
  <si>
    <t>https://kimotostudio12.netlify.app/01102b</t>
  </si>
  <si>
    <t>https://kimotostudio12.netlify.app/01103b</t>
  </si>
  <si>
    <t>https://kimotostudio12.netlify.app/01104b</t>
  </si>
  <si>
    <t>https://kimotostudio12.netlify.app/01105b</t>
  </si>
  <si>
    <t>https://kimotostudio12.netlify.app/01106b</t>
  </si>
  <si>
    <t>https://kimotostudio12.netlify.app/01107b</t>
  </si>
  <si>
    <t>https://kimotostudio12.netlify.app/01108b</t>
  </si>
  <si>
    <t>https://kimotostudio12.netlify.app/01109b</t>
  </si>
  <si>
    <t>https://kimotostudio12.netlify.app/01110b</t>
  </si>
  <si>
    <t>https://kimotostudio12.netlify.app/01111b</t>
  </si>
  <si>
    <t>https://kimotostudio12.netlify.app/01112b</t>
  </si>
  <si>
    <t>https://kimotostudio12.netlify.app/01113b</t>
  </si>
  <si>
    <t>https://kimotostudio12.netlify.app/01114b</t>
  </si>
  <si>
    <t>https://kimotostudio12.netlify.app/01115b</t>
  </si>
  <si>
    <t>https://kimotostudio12.netlify.app/01116b</t>
  </si>
  <si>
    <t>https://kimotostudio12.netlify.app/01117b</t>
  </si>
  <si>
    <t>https://kimotostudio12.netlify.app/01118b</t>
  </si>
  <si>
    <t>https://kimotostudio12.netlify.app/01119b</t>
  </si>
  <si>
    <t>https://kimotostudio12.netlify.app/01120b</t>
  </si>
  <si>
    <t>H</t>
  </si>
  <si>
    <t>https://kimotostudio12.netlify.app/01121b</t>
  </si>
  <si>
    <t>https://kimotostudio12.netlify.app/01122b</t>
  </si>
  <si>
    <t>https://kimotostudio12.netlify.app/01123b</t>
  </si>
  <si>
    <t>https://kimotostudio12.netlify.app/01124b</t>
  </si>
  <si>
    <t>https://kimotostudio12.netlify.app/01125b</t>
  </si>
  <si>
    <t>https://kimotostudio12.netlify.app/01126b</t>
  </si>
  <si>
    <t>https://kimotostudio12.netlify.app/01127b</t>
  </si>
  <si>
    <t>https://kimotostudio12.netlify.app/01128b</t>
  </si>
  <si>
    <t>https://kimotostudio12.netlify.app/01129b</t>
  </si>
  <si>
    <t>https://kimotostudio12.netlify.app/01130b</t>
  </si>
  <si>
    <t>https://kimotostudio12.netlify.app/01131b</t>
  </si>
  <si>
    <t>https://kimotostudio12.netlify.app/01132b</t>
  </si>
  <si>
    <t>https://kimotostudio12.netlify.app/01133b</t>
  </si>
  <si>
    <t>https://kimotostudio12.netlify.app/01134b</t>
  </si>
  <si>
    <t>https://kimotostudio12.netlify.app/01135b</t>
  </si>
  <si>
    <t>https://kimotostudio12.netlify.app/01136b</t>
  </si>
  <si>
    <t>https://kimotostudio12.netlify.app/01137b</t>
  </si>
  <si>
    <t>https://kimotostudio12.netlify.app/01138b</t>
  </si>
  <si>
    <t>https://kimotostudio12.netlify.app/01139b</t>
  </si>
  <si>
    <t>https://kimotostudio12.netlify.app/01140b</t>
  </si>
  <si>
    <t>https://kimotostudio12.netlify.app/01141b</t>
  </si>
  <si>
    <t>https://kimotostudio12.netlify.app/01142b</t>
  </si>
  <si>
    <t>https://kimotostudio12.netlify.app/01143b</t>
  </si>
  <si>
    <t>https://kimotostudio12.netlify.app/01144b</t>
  </si>
  <si>
    <t>https://kimotostudio12.netlify.app/01145b</t>
  </si>
  <si>
    <t>https://kimotostudio12.netlify.app/01146b</t>
  </si>
  <si>
    <t>https://kimotostudio12.netlify.app/01147b</t>
  </si>
  <si>
    <t>https://kimotostudio12.netlify.app/01148b</t>
  </si>
  <si>
    <t>https://kimotostudio12.netlify.app/01149b</t>
  </si>
  <si>
    <t>https://kimotostudio12.netlify.app/01150b</t>
  </si>
  <si>
    <t>https://kimotostudio12.netlify.app/01151b</t>
  </si>
  <si>
    <t>https://kimotostudio12.netlify.app/01152b</t>
  </si>
  <si>
    <t>https://kimotostudio12.netlify.app/01153b</t>
  </si>
  <si>
    <t>https://kimotostudio12.netlify.app/01154b</t>
  </si>
  <si>
    <t>https://kimotostudio12.netlify.app/01155b</t>
  </si>
  <si>
    <t>https://kimotostudio12.netlify.app/01156b</t>
  </si>
  <si>
    <t>https://kimotostudio12.netlify.app/01157b</t>
  </si>
  <si>
    <t>https://kimotostudio12.netlify.app/01158b</t>
  </si>
  <si>
    <t>https://kimotostudio12.netlify.app/01159b</t>
  </si>
  <si>
    <t>https://kimotostudio12.netlify.app/01160b</t>
  </si>
  <si>
    <t>https://kimotostudio12.netlify.app/01161b</t>
  </si>
  <si>
    <t>https://kimotostudio12.netlify.app/01162b</t>
  </si>
  <si>
    <t>https://kimotostudio12.netlify.app/01163b</t>
  </si>
  <si>
    <t>https://kimotostudio12.netlify.app/01164b</t>
  </si>
  <si>
    <t>https://kimotostudio12.netlify.app/01165b</t>
  </si>
  <si>
    <t>https://kimotostudio12.netlify.app/01166b</t>
  </si>
  <si>
    <t>https://kimotostudio12.netlify.app/01167b</t>
  </si>
  <si>
    <t>https://kimotostudio12.netlify.app/01168b</t>
  </si>
  <si>
    <t>https://kimotostudio12.netlify.app/01169b</t>
  </si>
  <si>
    <t>https://kimotostudio12.netlify.app/01170b</t>
  </si>
  <si>
    <t>https://kimotostudio12.netlify.app/01171b</t>
  </si>
  <si>
    <t>https://kimotostudio12.netlify.app/01172b</t>
  </si>
  <si>
    <t>https://kimotostudio12.netlify.app/01173b</t>
  </si>
  <si>
    <t>https://kimotostudio12.netlify.app/01174b</t>
  </si>
  <si>
    <t>https://kimotostudio12.netlify.app/01175b</t>
  </si>
  <si>
    <t>https://kimotostudio12.netlify.app/01176b</t>
  </si>
  <si>
    <t>https://kimotostudio12.netlify.app/01177b</t>
  </si>
  <si>
    <t>https://kimotostudio12.netlify.app/01178b</t>
  </si>
  <si>
    <t>https://kimotostudio12.netlify.app/01179b</t>
  </si>
  <si>
    <t>https://kimotostudio12.netlify.app/01180b</t>
  </si>
  <si>
    <t>https://kimotostudio12.netlify.app/01181b</t>
  </si>
  <si>
    <t>https://kimotostudio12.netlify.app/01182b</t>
  </si>
  <si>
    <t>https://kimotostudio12.netlify.app/01183b</t>
  </si>
  <si>
    <t>https://kimotostudio12.netlify.app/01184b</t>
  </si>
  <si>
    <t>https://kimotostudio12.netlify.app/01185b</t>
  </si>
  <si>
    <t>https://kimotostudio12.netlify.app/01186b</t>
  </si>
  <si>
    <t>https://kimotostudio12.netlify.app/01187b</t>
  </si>
  <si>
    <t>https://kimotostudio12.netlify.app/01188b</t>
  </si>
  <si>
    <t>https://kimotostudio12.netlify.app/01189b</t>
  </si>
  <si>
    <t>https://kimotostudio12.netlify.app/01190b</t>
  </si>
  <si>
    <t>https://kimotostudio12.netlify.app/01191b</t>
  </si>
  <si>
    <t>https://kimotostudio12.netlify.app/01192b</t>
  </si>
  <si>
    <t>https://kimotostudio12.netlify.app/01193b</t>
  </si>
  <si>
    <t>https://kimotostudio12.netlify.app/01194b</t>
  </si>
  <si>
    <t>https://kimotostudio12.netlify.app/01195b</t>
  </si>
  <si>
    <t>https://kimotostudio12.netlify.app/01196b</t>
  </si>
  <si>
    <t>https://kimotostudio12.netlify.app/01197b</t>
  </si>
  <si>
    <t>https://kimotostudio12.netlify.app/01198b</t>
  </si>
  <si>
    <t>https://kimotostudio12.netlify.app/01199b</t>
  </si>
  <si>
    <t>https://kimotostudio12.netlify.app/01200b</t>
  </si>
  <si>
    <t>https://kimotostudio12.netlify.app/01201b</t>
  </si>
  <si>
    <t>https://kimotostudio12.netlify.app/01202b</t>
  </si>
  <si>
    <t>https://kimotostudio12.netlify.app/01203b</t>
  </si>
  <si>
    <t>https://kimotostudio12.netlify.app/01204b</t>
  </si>
  <si>
    <t>https://kimotostudio12.netlify.app/01205b</t>
  </si>
  <si>
    <t>https://kimotostudio12.netlify.app/01206b</t>
  </si>
  <si>
    <t>https://kimotostudio12.netlify.app/01207b</t>
  </si>
  <si>
    <t>https://kimotostudio12.netlify.app/01208b</t>
  </si>
  <si>
    <t>https://kimotostudio12.netlify.app/01209b</t>
  </si>
  <si>
    <t>https://kimotostudio12.netlify.app/01210b</t>
  </si>
  <si>
    <t>https://kimotostudio12.netlify.app/01211b</t>
  </si>
  <si>
    <t>https://kimotostudio12.netlify.app/01212b</t>
  </si>
  <si>
    <t>https://kimotostudio12.netlify.app/01213b</t>
  </si>
  <si>
    <t>https://kimotostudio12.netlify.app/01214b</t>
  </si>
  <si>
    <t>https://kimotostudio12.netlify.app/01215b</t>
  </si>
  <si>
    <t>https://kimotostudio12.netlify.app/01216b</t>
  </si>
  <si>
    <t>https://kimotostudio12.netlify.app/01217b</t>
  </si>
  <si>
    <t>https://kimotostudio12.netlify.app/01218b</t>
  </si>
  <si>
    <t>https://kimotostudio12.netlify.app/01219b</t>
  </si>
  <si>
    <t>https://kimotostudio12.netlify.app/01220b</t>
  </si>
  <si>
    <t>https://kimotostudio12.netlify.app/01221b</t>
  </si>
  <si>
    <t>https://kimotostudio12.netlify.app/01222b</t>
  </si>
  <si>
    <t>https://kimotostudio12.netlify.app/01223b</t>
  </si>
  <si>
    <t>https://kimotostudio12.netlify.app/01224b</t>
  </si>
  <si>
    <t>https://kimotostudio12.netlify.app/01225b</t>
  </si>
  <si>
    <t>https://kimotostudio12.netlify.app/01226b</t>
  </si>
  <si>
    <t>https://kimotostudio12.netlify.app/01227b</t>
  </si>
  <si>
    <t>https://kimotostudio12.netlify.app/01228b</t>
  </si>
  <si>
    <t>https://kimotostudio12.netlify.app/01229b</t>
  </si>
  <si>
    <t>https://kimotostudio12.netlify.app/01230b</t>
  </si>
  <si>
    <t>https://kimotostudio12.netlify.app/01231b</t>
  </si>
  <si>
    <t>https://kimotostudio12.netlify.app/01232b</t>
  </si>
  <si>
    <t>https://kimotostudio12.netlify.app/01233b</t>
  </si>
  <si>
    <t>https://kimotostudio12.netlify.app/01234b</t>
  </si>
  <si>
    <t>https://kimotostudio12.netlify.app/01235b</t>
  </si>
  <si>
    <t>https://kimotostudio12.netlify.app/01236b</t>
  </si>
  <si>
    <t>https://kimotostudio12.netlify.app/01237b</t>
  </si>
  <si>
    <t>https://kimotostudio12.netlify.app/01238b</t>
  </si>
  <si>
    <t>https://kimotostudio12.netlify.app/01239b</t>
  </si>
  <si>
    <t>https://kimotostudio12.netlify.app/01240b</t>
  </si>
  <si>
    <t>https://kimotostudio12.netlify.app/01241b</t>
  </si>
  <si>
    <t>https://kimotostudio12.netlify.app/01242b</t>
  </si>
  <si>
    <t>https://kimotostudio12.netlify.app/01243b</t>
  </si>
  <si>
    <t>https://kimotostudio12.netlify.app/01244b</t>
  </si>
  <si>
    <t>https://kimotostudio12.netlify.app/01245b</t>
  </si>
  <si>
    <t>https://kimotostudio12.netlify.app/01246b</t>
  </si>
  <si>
    <t>https://kimotostudio12.netlify.app/01247b</t>
  </si>
  <si>
    <t>https://kimotostudio12.netlify.app/01248b</t>
  </si>
  <si>
    <t>https://kimotostudio12.netlify.app/01249b</t>
  </si>
  <si>
    <t>https://kimotostudio12.netlify.app/01250b</t>
  </si>
  <si>
    <t>https://kimotostudio12.netlify.app/01251b</t>
  </si>
  <si>
    <t>https://kimotostudio12.netlify.app/01252b</t>
  </si>
  <si>
    <t>https://kimotostudio12.netlify.app/01253b</t>
  </si>
  <si>
    <t>https://kimotostudio12.netlify.app/01254b</t>
  </si>
  <si>
    <t>https://kimotostudio12.netlify.app/01255b</t>
  </si>
  <si>
    <t>https://kimotostudio12.netlify.app/01256b</t>
  </si>
  <si>
    <t>idは07000から</t>
  </si>
  <si>
    <t>https://kimotostudio12.netlify.app/01260b</t>
  </si>
  <si>
    <t>https://kimotostudio12.netlify.app/01261b</t>
  </si>
  <si>
    <t>https://kimotostudio12.netlify.app/01262b</t>
  </si>
  <si>
    <t>https://kimotostudio12.netlify.app/01263b</t>
  </si>
  <si>
    <t>https://kimotostudio12.netlify.app/01264b</t>
  </si>
  <si>
    <t>https://kimotostudio12.netlify.app/01265b</t>
  </si>
  <si>
    <t>https://kimotostudio12.netlify.app/01266b</t>
  </si>
  <si>
    <t>https://kimotostudio12.netlify.app/01267b</t>
  </si>
  <si>
    <t>https://kimotostudio12.netlify.app/01268b</t>
  </si>
  <si>
    <t>https://kimotostudio12.netlify.app/01269b</t>
  </si>
  <si>
    <t>https://kimotostudio12.netlify.app/01270b</t>
  </si>
  <si>
    <t>https://kimotostudio12.netlify.app/01271b</t>
  </si>
  <si>
    <t>https://kimotostudio12.netlify.app/01272b</t>
  </si>
  <si>
    <t>https://kimotostudio12.netlify.app/01273b</t>
  </si>
  <si>
    <t>https://kimotostudio12.netlify.app/01274b</t>
  </si>
  <si>
    <t>https://kimotostudio12.netlify.app/01275b</t>
  </si>
  <si>
    <t>https://kimotostudio12.netlify.app/01276b</t>
  </si>
  <si>
    <t>https://kimotostudio12.netlify.app/01277b</t>
  </si>
  <si>
    <t>https://kimotostudio12.netlify.app/01278b</t>
  </si>
  <si>
    <t>https://kimotostudio12.netlify.app/01279b</t>
  </si>
  <si>
    <t>https://kimotostudio12.netlify.app/01280b</t>
  </si>
  <si>
    <t>https://kimotostudio12.netlify.app/01281b</t>
  </si>
  <si>
    <t>https://kimotostudio12.netlify.app/01282b</t>
  </si>
  <si>
    <t>https://kimotostudio12.netlify.app/01283b</t>
  </si>
  <si>
    <t>https://kimotostudio12.netlify.app/01284b</t>
  </si>
  <si>
    <t>https://kimotostudio12.netlify.app/01285b</t>
  </si>
  <si>
    <t>https://kimotostudio12.netlify.app/01286b</t>
  </si>
  <si>
    <t>https://kimotostudio12.netlify.app/01287b</t>
  </si>
  <si>
    <t>https://kimotostudio12.netlify.app/01288b</t>
  </si>
  <si>
    <t>https://kimotostudio12.netlify.app/01289b</t>
  </si>
  <si>
    <t>https://kimotostudio12.netlify.app/01290b</t>
  </si>
  <si>
    <t>https://kimotostudio12.netlify.app/01291b</t>
  </si>
  <si>
    <t>https://kimotostudio12.netlify.app/01292b</t>
  </si>
  <si>
    <t>https://kimotostudio12.netlify.app/01293b</t>
  </si>
  <si>
    <t>https://kimotostudio12.netlify.app/01294b</t>
  </si>
  <si>
    <t>https://kimotostudio12.netlify.app/01295b</t>
  </si>
  <si>
    <t>https://kimotostudio12.netlify.app/01296b</t>
  </si>
  <si>
    <t>https://kimotostudio12.netlify.app/01297b</t>
  </si>
  <si>
    <t>https://kimotostudio12.netlify.app/01298b</t>
  </si>
  <si>
    <t>https://kimotostudio12.netlify.app/01299b</t>
  </si>
  <si>
    <t>https://kimotostudio12.netlify.app/01300b</t>
  </si>
  <si>
    <t>https://kimotostudio12.netlify.app/01301b</t>
  </si>
  <si>
    <t>https://kimotostudio12.netlify.app/01302b</t>
  </si>
  <si>
    <t>https://kimotostudio12.netlify.app/01303b</t>
  </si>
  <si>
    <t>https://kimotostudio12.netlify.app/01304b</t>
  </si>
  <si>
    <t>https://kimotostudio12.netlify.app/01305b</t>
  </si>
  <si>
    <t>https://kimotostudio12.netlify.app/01306b</t>
  </si>
  <si>
    <t>https://kimotostudio12.netlify.app/01307b</t>
  </si>
  <si>
    <t>https://kimotostudio12.netlify.app/01308b</t>
  </si>
  <si>
    <t>https://kimotostudio12.netlify.app/01309b</t>
  </si>
  <si>
    <t>https://kimotostudio12.netlify.app/01310b</t>
  </si>
  <si>
    <t>https://kimotostudio12.netlify.app/01311b</t>
  </si>
  <si>
    <t>https://kimotostudio12.netlify.app/01312b</t>
  </si>
  <si>
    <t>https://kimotostudio12.netlify.app/01313b</t>
  </si>
  <si>
    <t>https://kimotostudio12.netlify.app/01314b</t>
  </si>
  <si>
    <t>https://kimotostudio12.netlify.app/01315b</t>
  </si>
  <si>
    <t>https://kimotostudio12.netlify.app/01316b</t>
  </si>
  <si>
    <t>https://kimotostudio12.netlify.app/01317b</t>
  </si>
  <si>
    <t>https://kimotostudio12.netlify.app/01318b</t>
  </si>
  <si>
    <t>https://kimotostudio12.netlify.app/01319b</t>
  </si>
  <si>
    <t>https://kimotostudio12.netlify.app/01320b</t>
  </si>
  <si>
    <t>https://kimotostudio12.netlify.app/01321b</t>
  </si>
  <si>
    <t>https://kimotostudio12.netlify.app/01322b</t>
  </si>
  <si>
    <t>https://kimotostudio12.netlify.app/01323b</t>
  </si>
  <si>
    <t>https://kimotostudio12.netlify.app/01324b</t>
  </si>
  <si>
    <t>https://kimotostudio12.netlify.app/01325b</t>
  </si>
  <si>
    <t>https://kimotostudio12.netlify.app/01326b</t>
  </si>
  <si>
    <t>https://kimotostudio12.netlify.app/01327b</t>
  </si>
  <si>
    <t>https://kimotostudio12.netlify.app/01328b</t>
  </si>
  <si>
    <t>https://kimotostudio12.netlify.app/01329b</t>
  </si>
  <si>
    <t>https://kimotostudio12.netlify.app/01330b</t>
  </si>
  <si>
    <t>https://kimotostudio12.netlify.app/01331b</t>
  </si>
  <si>
    <t>https://kimotostudio12.netlify.app/01332b</t>
  </si>
  <si>
    <t>名称</t>
  </si>
  <si>
    <t>URL</t>
  </si>
  <si>
    <t>Web評価</t>
  </si>
  <si>
    <t>判定コメント/特徴</t>
  </si>
  <si>
    <t>福岡臨床心理オフィス（福岡心理カウンセリングオフィス）</t>
  </si>
  <si>
    <t>https://fukuoka-cp-office.com/</t>
  </si>
  <si>
    <t>◎</t>
  </si>
  <si>
    <t>独自ドメインで構成整理・情報充実だがデザイン古めでスマホ対応に改善余地／完全予約制・博多駅筑紫口徒歩5分</t>
  </si>
  <si>
    <t>オフィスアムコス</t>
  </si>
  <si>
    <t>https://officeamukos.com/</t>
  </si>
  <si>
    <t>独自ドメインで構成整理・情報充実だがデザイン古めでスマホ対応に改善余地</t>
  </si>
  <si>
    <t>訪問心理ステーション大阪（福岡支店）</t>
  </si>
  <si>
    <t>https://www.houmonshinri-station.jp/</t>
  </si>
  <si>
    <t>ハーベア（フィトセラピーサロン）</t>
  </si>
  <si>
    <t>http://herbear.jp/salon/</t>
  </si>
  <si>
    <t>△</t>
  </si>
  <si>
    <t>独自ドメインだが構成が簡素で情報が不十分</t>
  </si>
  <si>
    <t>プライベートサロン「フィリア」＆チャネリング</t>
  </si>
  <si>
    <t>https://yamashitamiki.com/private-salon-menu/</t>
  </si>
  <si>
    <t>癒楽(ユラ)</t>
  </si>
  <si>
    <t>https://beauty.hotpepper.jp/kr/slnH000670718/</t>
  </si>
  <si>
    <t>ホットペッパーのみ掲載で独立サイトがなく改善余地が大きい</t>
  </si>
  <si>
    <t>志岐カウンセリングオフィス</t>
  </si>
  <si>
    <t>https://www.shiki-counseling.com/goaisastu</t>
  </si>
  <si>
    <t>こころRyu</t>
  </si>
  <si>
    <t>https://mentalhealth-ryu.jp/blog</t>
  </si>
  <si>
    <t>ブログ形式で情報が散在している</t>
  </si>
  <si>
    <t>充実生活社</t>
  </si>
  <si>
    <t>http://www.websp01.com/jyujitu/</t>
  </si>
  <si>
    <t>情報が散在しナビゲーションが不明確</t>
  </si>
  <si>
    <t>薬草の森 はくすい堂</t>
  </si>
  <si>
    <t>https://reserva.be/hakusuido/about</t>
  </si>
  <si>
    <t>予約システム中心で独立サイトがなく改善余地が大きい</t>
  </si>
  <si>
    <t>ひと息倶楽部（女性専用カウンセリング）</t>
  </si>
  <si>
    <t>https://www.hitoikiclub.com/</t>
  </si>
  <si>
    <t>臨床心理シランの室</t>
  </si>
  <si>
    <t>https://tt0330-kam.com/female</t>
  </si>
  <si>
    <t>メンタルサロン 芦田ジュン</t>
  </si>
  <si>
    <t>https://ashidamentalsalon.com/</t>
  </si>
  <si>
    <t>小倉南区ヒーリングサロンさえ</t>
  </si>
  <si>
    <t>https://sae38.com/</t>
  </si>
  <si>
    <t>セラピーやよし（弥吉）</t>
  </si>
  <si>
    <t>https://yayoshi.jp/</t>
  </si>
  <si>
    <t>Office smile therapy</t>
  </si>
  <si>
    <t>https://coubic.com/smiletherapy</t>
  </si>
  <si>
    <t>本来の自分に覚醒 自分開花カウンセラー Chieko</t>
  </si>
  <si>
    <t>https://www.ameba.jp/profile/general/clary-clary/</t>
  </si>
  <si>
    <t>Amebaブログのみで公式サイト整備がなく改善余地が非常に大きい</t>
  </si>
  <si>
    <t>メンタルサポートグループ久留米</t>
  </si>
  <si>
    <t>https://jmty.jp/fukuoka/ser-cons/article-ay7s3?srsltid=AfmBOopn3q6YfRSB3HL610SoSFQ98eAHlAmpS7WKqVAhjBKBFW1mkba4</t>
  </si>
  <si>
    <t>ポータル掲載のみで独立サイトがなく改善余地が大きい</t>
  </si>
  <si>
    <t>Healing Therapy Salon チオリ</t>
  </si>
  <si>
    <t>https://chiori1118.com/</t>
  </si>
  <si>
    <t>独自ドメインで構成整理・情報充実かつデザイン比較的新しくスマホ対応も良好</t>
  </si>
  <si>
    <t>セラピーサロン ＊サラの庭＊ Sarah's Garden</t>
  </si>
  <si>
    <t>https://fairy-sarah.amebaownd.com/</t>
  </si>
  <si>
    <t>Amebaownd無料版テンプレで構成されWeb改善余地が大きい</t>
  </si>
  <si>
    <t>private salon chill（チル）</t>
  </si>
  <si>
    <t>https://www.privatesalon-chill.com/achievement/</t>
  </si>
  <si>
    <t>Hanabusa日和（保育ピアノサポート）</t>
  </si>
  <si>
    <t>https://hanabusa-music.com/blog/542/</t>
  </si>
  <si>
    <t>スタジオリカクリニック</t>
  </si>
  <si>
    <t>https://www.rikaclinic.jp/</t>
  </si>
  <si>
    <t>医療機関で個人運営ではない可能性があるため営業対象として要精査</t>
  </si>
  <si>
    <t>メンタルケアサロン心の翼 筑紫野二日市店</t>
  </si>
  <si>
    <t>https://www.ekiten.jp/shop_84471545/</t>
  </si>
  <si>
    <t>整骨院フーニ</t>
  </si>
  <si>
    <t>https://seikotsuin-funi.net/</t>
  </si>
  <si>
    <t>オヤム(oyam)</t>
  </si>
  <si>
    <t>https://beauty.hotpepper.jp/kr/slnH000695557/</t>
  </si>
  <si>
    <t>OFFICE GEKKOU</t>
  </si>
  <si>
    <t>https://office-gekkou.com/</t>
  </si>
  <si>
    <t>○</t>
  </si>
  <si>
    <t>完全予約制, 対面・電話・訪問カウンセリング, 個人運営</t>
  </si>
  <si>
    <t>市川カウンセリングオフィス</t>
  </si>
  <si>
    <t>https://www.kokoro-care.com/</t>
  </si>
  <si>
    <t>完全予約制, 公認心理師・臨床心理士, 個人・家族・出張カウンセリング</t>
  </si>
  <si>
    <t>カウンセリングオフィスplum</t>
  </si>
  <si>
    <t>https://counseling-plum.com/</t>
  </si>
  <si>
    <t>完全予約制, 個室対応</t>
  </si>
  <si>
    <t>吉塚臨床心理相談室</t>
  </si>
  <si>
    <t>https://www.yoshizuka-rinsyoshinri.com/</t>
  </si>
  <si>
    <t>完全予約制, 公認心理師・臨床心理士</t>
  </si>
  <si>
    <t>アイブイエフ詠田クリニック心理カウンセリング</t>
  </si>
  <si>
    <t>https://www.ivf-nagata.com/counseling.html</t>
  </si>
  <si>
    <t>完全予約制, 2日前までに要予約（クリニック併設）</t>
  </si>
  <si>
    <t>浩氣館道場</t>
  </si>
  <si>
    <t>https://www.s-grid-fukuoka.com/blank-15</t>
  </si>
  <si>
    <t>身心の統一, 人間力育成, マインドフルネス対応（情報量少なめ）</t>
  </si>
  <si>
    <t>占い処 古事庵</t>
  </si>
  <si>
    <t>http://www.kojian.jp/</t>
  </si>
  <si>
    <t>完全予約制, 複数占い師在籍, 霊感・霊視占い専門</t>
  </si>
  <si>
    <t>甲易堂</t>
  </si>
  <si>
    <t>ポータルサイト掲載のみ（独立サイト未確認）</t>
  </si>
  <si>
    <t>東京・福岡タロット占いラーヤコンサルティング</t>
  </si>
  <si>
    <t>https://www.layah.com/</t>
  </si>
  <si>
    <t>タロット占い, 霊視, 経営者・働く女性専門</t>
  </si>
  <si>
    <t>スピリチュアルサロン珠清</t>
  </si>
  <si>
    <t>https://jusei.info/</t>
  </si>
  <si>
    <t>霊感霊視, タロット, 思念伝達, 経営者向け</t>
  </si>
  <si>
    <t>Brave Meditation</t>
  </si>
  <si>
    <t>https://bravemdt.com/</t>
  </si>
  <si>
    <t>マインドフルネス瞑想, 対面・オンライン講座, プライベートセッション</t>
  </si>
  <si>
    <t>瞑想ヨガスタジオOasis</t>
  </si>
  <si>
    <t>https://oasis-yoga.com/</t>
  </si>
  <si>
    <t>瞑想, ヨガ, 心身調整, 閑静な住宅街</t>
  </si>
  <si>
    <t>癒しサロン APPLAUSE</t>
  </si>
  <si>
    <t>https://setsuritsu-senmon.com/fukuoka/15591</t>
  </si>
  <si>
    <t>レイキハンドヒーリング, 経営者向け（ポータルサイト掲載）</t>
  </si>
  <si>
    <t>Ka-Fu</t>
  </si>
  <si>
    <t>https://ka-fuu.com/</t>
  </si>
  <si>
    <t>アロマテラピー, 自然の恵み重視</t>
  </si>
  <si>
    <t>ハーブ&amp;アロマ教室</t>
  </si>
  <si>
    <t>https://marialeaf.com/</t>
  </si>
  <si>
    <t>ハーブ&amp;アロマ, 日本メディカルハーブ協会認定校</t>
  </si>
  <si>
    <t>マインドフルネス（heal-the-world）</t>
  </si>
  <si>
    <t>https://heal-the-world.amebaownd.com/</t>
  </si>
  <si>
    <t>セールストレーニング, 能力開発, コーチング, カウンセリング（Amebaownd）</t>
  </si>
  <si>
    <t>柊木匠公式HP</t>
  </si>
  <si>
    <t>https://www.hiiragi-takumi.com/</t>
  </si>
  <si>
    <t>物理学者・心理学者, 個人カウンセリング, レイキ伝授</t>
  </si>
  <si>
    <t>ナルシス</t>
  </si>
  <si>
    <t>https://beauty.hotpepper.jp/kr/slnH000723685/</t>
  </si>
  <si>
    <t>完全予約制, 不定休（ホットペッパーのみ）</t>
  </si>
  <si>
    <t>Walea -ワレア-</t>
  </si>
  <si>
    <t>https://walea-suumin.com/</t>
  </si>
  <si>
    <t>プライベートエステサロン, 完全予約制, 女性専用</t>
  </si>
  <si>
    <t>プライベートサロン Rtam</t>
  </si>
  <si>
    <t>https://mise-repo.com/12415/</t>
  </si>
  <si>
    <t>完全予約制, オーダーメイド施術（ポータルサイト掲載）</t>
  </si>
  <si>
    <t>plaisir</t>
  </si>
  <si>
    <t>https://plaisir-bustsalon.com/</t>
  </si>
  <si>
    <t>バストアップ, 完全予約制, 完全個室</t>
  </si>
  <si>
    <t>トータルビューティーシェアサロン～Wa～ artemisia/L</t>
  </si>
  <si>
    <t>https://artemisia1001.amebaownd.com/</t>
  </si>
  <si>
    <t>ヒーリング, カウンセリング込み, ハーブセラピー（Amebaownd）</t>
  </si>
  <si>
    <t>臓活サロンBless</t>
  </si>
  <si>
    <t>https://salonbless.com/</t>
  </si>
  <si>
    <t>プライベートサロン, ストレス軽減（ブログ中心）</t>
  </si>
  <si>
    <t>キャリアアップコーチング</t>
  </si>
  <si>
    <t>https://www.careermind.jp/</t>
  </si>
  <si>
    <t>個人向けサービス, 目標達成支援</t>
  </si>
  <si>
    <t>ベストライフコーチング</t>
  </si>
  <si>
    <t>https://bestlife-coaching.com/</t>
  </si>
  <si>
    <t>個人向けコーチング, 電話・Skype・Zoom対応</t>
  </si>
  <si>
    <t>コーチアプローチファシリテーター連盟（CAF連盟）</t>
  </si>
  <si>
    <t>https://hakatacaf1408.webnode.jp/</t>
  </si>
  <si>
    <t>個人エンパワーメント, ファシリテーション（Webnode）</t>
  </si>
  <si>
    <t>ワーク・ライフバランス「しごとと」</t>
  </si>
  <si>
    <t>https://www.shigototowatashi.com/</t>
  </si>
  <si>
    <t>個人向けコーチングセッション, 30分～</t>
  </si>
  <si>
    <t>マネジメントヘルスケアア協会（福岡）</t>
  </si>
  <si>
    <t>https://kenkomind.com/</t>
  </si>
  <si>
    <t>マインドフルネス体験セッション, モニター募集</t>
  </si>
  <si>
    <t>美咲花ヒーリングスクール（福岡）</t>
  </si>
  <si>
    <t>https://www.bishoka.com/</t>
  </si>
  <si>
    <t>癒しサロン開業コース, ブランディング・集客指導</t>
  </si>
  <si>
    <t>ウインドイーラヒーリング（東京・福岡）</t>
  </si>
  <si>
    <t>https://salalablog.exblog.jp/</t>
  </si>
  <si>
    <t>ヘッドスパスクール, サロンオーナー向け勉強会（ExBlog）</t>
  </si>
  <si>
    <t>在宅・訪問マッサージ どりいむ</t>
  </si>
  <si>
    <t>https://www.h-dreams.com/</t>
  </si>
  <si>
    <t>傾聴セラピー, 訪問サービス</t>
  </si>
  <si>
    <t>セラピールームcocorise（ココリセ）</t>
  </si>
  <si>
    <t>https://www.cocorise.com/</t>
  </si>
  <si>
    <t>独立ドメイン／2009年開業／心理セラピー・カウンセリング・ファミリーコンステレーション／比較的充実</t>
  </si>
  <si>
    <t>癒しの総合サロンNilfa（ニルファ）</t>
  </si>
  <si>
    <t>https://www.nilfatherapist.com/</t>
  </si>
  <si>
    <t>自宅サロン／出張・オンライン対応／心理カウンセリング・ヒプノ・ヒーリング・カラー・アロマ・スピリチュアル／比較的充実</t>
  </si>
  <si>
    <t>小倉臨床心理相談室</t>
  </si>
  <si>
    <t>https://kokurapsychanalyse.jpn.org/</t>
  </si>
  <si>
    <t>精神分析とカウンセリング専門／完全予約制／基本情報のみ</t>
  </si>
  <si>
    <t>心理カウンセリング ほたる</t>
  </si>
  <si>
    <t>https://www.ekiten.jp/shop_40874162/</t>
  </si>
  <si>
    <t>完全予約制／プライベート空間／ポータルサイト掲載のみ（エキテン）</t>
  </si>
  <si>
    <t>こころリラクゼーションスペース Self-esteem（セルフ・エスティーム）</t>
  </si>
  <si>
    <t>https://reserva.be/selfesteem/about</t>
  </si>
  <si>
    <t>完全予約制／予約システム利用（RESERVA）／予約サイト中心</t>
  </si>
  <si>
    <t>占い船ホヌ</t>
  </si>
  <si>
    <t>https://www.uranaisenhonu.com/</t>
  </si>
  <si>
    <t>独立ドメイン／算命学・タロット・ルノルマン／完全予約制／全国オンライン対応／比較的充実</t>
  </si>
  <si>
    <t>愛理の占い（プライベートサロン）</t>
  </si>
  <si>
    <t>http://airinouranai.com/</t>
  </si>
  <si>
    <t>女性専用／完全予約制／プライベートサロン／基本情報のみ</t>
  </si>
  <si>
    <t>占いサロン ロバのみみ</t>
  </si>
  <si>
    <t>http://uranai-robanomimi.com/</t>
  </si>
  <si>
    <t>四柱推命・手相・方位・姓名判断・東洋タロット／心理学融合／基本情報のみ</t>
  </si>
  <si>
    <t>セラピストKOTOMIの占い＆心理</t>
  </si>
  <si>
    <t>https://kty33.crayonsite.net/</t>
  </si>
  <si>
    <t>個人鑑定／占い・スピリチュアルカウンセリング・TCカラー／LINE予約／無料HP作成サービス（Crayon）</t>
  </si>
  <si>
    <t>北九州小倉スピリチュアル癒美座（イビザ）</t>
  </si>
  <si>
    <t>https://spiritual-master.biz/</t>
  </si>
  <si>
    <t>美脳活性・色彩波動・遠隔ヒーリング・エネルギーワーク／基本情報のみ</t>
  </si>
  <si>
    <t>Dear H（ディアエイチ）</t>
  </si>
  <si>
    <t>https://www.dear-h.com/</t>
  </si>
  <si>
    <t>リーディング・ヒーリング・ボディマッサージ／波動調整／基本情報のみ</t>
  </si>
  <si>
    <t>アロマサロン ジャタマンシ</t>
  </si>
  <si>
    <t>https://aromajatamansi.com/</t>
  </si>
  <si>
    <t>独立ドメイン／2006年開業／IFA認定アロマセラピスト／女性専用／完全予約制／比較的充実</t>
  </si>
  <si>
    <t>アロマタッチサロン 繋</t>
  </si>
  <si>
    <t>https://aromatouch-tsunagu.crayonsite.info/</t>
  </si>
  <si>
    <t>一軒家サロン／1日4組まで／完全予約制／無料HP作成サービス（Crayon）</t>
  </si>
  <si>
    <t>Body Care Salon 822</t>
  </si>
  <si>
    <t>https://www.bodycaresalon-822.com/</t>
  </si>
  <si>
    <t>完全予約制／LINE対応／基本情報のみ</t>
  </si>
  <si>
    <t>リセットヨガ（ロータスブルーム）</t>
  </si>
  <si>
    <t>https://hotyogalotusbloom.jp/program/reset-yoga/</t>
  </si>
  <si>
    <t>本格派ヨガスタジオ／フライハイヨガ／比較的充実</t>
  </si>
  <si>
    <t>ダイエットサロン スパイルソーレ</t>
  </si>
  <si>
    <t>https://clarayoga.net/yoga</t>
  </si>
  <si>
    <t>マタニティヨガ・産後ヨガ・個人レッスン／基本情報のみ</t>
  </si>
  <si>
    <t>灯（ともしび）カウンセリング</t>
  </si>
  <si>
    <t>https://tomoshibi-room.jimdosite.com/</t>
  </si>
  <si>
    <t>Jimdoサイト／完全予約制／カウンセリング専門／代表:山口敏晃／初回50分8,800円／月-金10:00-20:00・土日10:00-17:00</t>
  </si>
  <si>
    <t>久留米 占い Plan_B</t>
  </si>
  <si>
    <t>https://planb.press/</t>
  </si>
  <si>
    <t>個人鑑定／50分10,000円／Web構成充実</t>
  </si>
  <si>
    <t>岡野式神気ヒーリングサロン</t>
  </si>
  <si>
    <t>https://shinki-healing.com/</t>
  </si>
  <si>
    <t>ヒーリング／除霊／霊視／占い／スピリチュアル／15分3,000円〜</t>
  </si>
  <si>
    <t>あいのわアロマ&amp;ヒーリングスペース</t>
  </si>
  <si>
    <t>https://www.ainowaaroma.com/</t>
  </si>
  <si>
    <t>アロマセラピー／レイキヒーリング／会員制（入会金11,000円・年会費3,300円）</t>
  </si>
  <si>
    <t>カウンセリングルーム「エルピス」</t>
  </si>
  <si>
    <t>https://mellifluous-melba-13f748.netlify.app/</t>
  </si>
  <si>
    <t>倉永病院内（記載）／公認心理師・臨床心理士在籍／完全予約制／初回90分5,000円・継続45分3,000円</t>
  </si>
  <si>
    <t>ソフィア（大牟田市）</t>
  </si>
  <si>
    <t>https://www.sophia-omuta.com/</t>
  </si>
  <si>
    <t>カウンセリング／心理検査／予約制</t>
  </si>
  <si>
    <t>オリーブカイロプラクティック</t>
  </si>
  <si>
    <t>http://olivechiro.com/hypno</t>
  </si>
  <si>
    <t>心理セラピー／対面・ZOOM／完全予約制／無料相談30分／初回60分7,700円／3回セット66,000円</t>
  </si>
  <si>
    <t>Medical Salon K.STELLA</t>
  </si>
  <si>
    <t>https://beauty.hotpepper.jp/kr/slnH000558273/</t>
  </si>
  <si>
    <t>脳内エステ／完全予約制／10:00-20:00</t>
  </si>
  <si>
    <t>こころの相談センター</t>
  </si>
  <si>
    <t>https://my-best.com/18277</t>
  </si>
  <si>
    <t>無料電話相談可（記載）／完全予約制／個人初回5,500円・ペア初回8,800円／土10:00-19:00・日10:00-16:00</t>
  </si>
  <si>
    <t>こころんカラー【cocolorn color】</t>
  </si>
  <si>
    <t>https://www.cocolorn-color.info/</t>
  </si>
  <si>
    <t>パーソナルカラー診断／カラーアートセラピー／パステルアート／完全予約制</t>
  </si>
  <si>
    <t>ゆうメンタルクリニック</t>
  </si>
  <si>
    <t>https://www.yu-mentalclinic.com/</t>
  </si>
  <si>
    <t>心療内科／精神科／カウンセリング重視（記載）</t>
  </si>
  <si>
    <t>みなもいとしま（学習支援）</t>
  </si>
  <si>
    <t>https://www.minamoitoshima.com/counseling</t>
  </si>
  <si>
    <t>個別相談／カウンセリング／完全予約制</t>
  </si>
  <si>
    <t>リトリートサロンいらよい</t>
  </si>
  <si>
    <t>https://irayoi.com/voice</t>
  </si>
  <si>
    <t>マッサージ／傾聴／セラピー</t>
  </si>
  <si>
    <t>いとすき（傾聴力アップ講座）</t>
  </si>
  <si>
    <t>https://itosuki.jimdofree.com/</t>
  </si>
  <si>
    <t>傾聴力講座／完全予約制</t>
  </si>
  <si>
    <t>ヒーリングサロン MANA</t>
  </si>
  <si>
    <t>https://www.healingsalon-mana.net/</t>
  </si>
  <si>
    <t>霊感タロット／霊感ヒーリング／鑑定／講座／完全予約制／LINE予約／駐車場2台（記載）</t>
  </si>
  <si>
    <t>salon結(yui)</t>
  </si>
  <si>
    <t>https://beauty.hotpepper.jp/kr/slnH000752909/</t>
  </si>
  <si>
    <t>完全予約制／10:00-20:00（最終受付18:00）</t>
  </si>
  <si>
    <t>ココリセ（Cocorise）</t>
  </si>
  <si>
    <t>https://www.cocorise.com/about/</t>
  </si>
  <si>
    <t>カウンセリング／セラピー／完全予約制／10:00-21:00（記載）</t>
  </si>
  <si>
    <t>福岡県の夫婦カウンセリング（Tially）</t>
  </si>
  <si>
    <t>https://www.tially.jp/fukuoka/</t>
  </si>
  <si>
    <t>夫婦カウンセリング／完全予約制</t>
  </si>
  <si>
    <t>ココロパートナーズ</t>
  </si>
  <si>
    <t>https://cocoro-pt.com/</t>
  </si>
  <si>
    <t>カウンセリング／カップルカウンセリング／オンライン対応／50分3,850円</t>
  </si>
  <si>
    <t>トータルリラクゼーションサロン Spiritum</t>
  </si>
  <si>
    <t>https://spiritum-minako.wixsite.com/spiritum</t>
  </si>
  <si>
    <t>Wixドメインかつ個人運営の完全予約制サロンのため</t>
  </si>
  <si>
    <t>六本松心理教育臨床オフィス</t>
  </si>
  <si>
    <t>https://ropponmatsucounsel.wixsite.com/fukuoka</t>
  </si>
  <si>
    <t>Wixドメインで運営される地域密着型の小規模相談室のため</t>
  </si>
  <si>
    <t>フェムケア spa salon NicoL</t>
  </si>
  <si>
    <t>https://umy1723.wixsite.com/tennjin-nico</t>
  </si>
  <si>
    <t>Wixドメインの個人プライベートサロンで妊活カウンセリング等を提供しているため</t>
  </si>
  <si>
    <t>ハートケアカウンセラー時枝正和</t>
  </si>
  <si>
    <t>https://heartcare-tokieda.wixsite.com/tokieda</t>
  </si>
  <si>
    <t>Wixドメインの個人カウンセリングルームで対面セッション中心のため</t>
  </si>
  <si>
    <t>伊都ココロの小部屋</t>
  </si>
  <si>
    <t>https://kokoro-kobeya.jimdofree.com/</t>
  </si>
  <si>
    <t>Jimdoドメインの女性専用個人カウンセリングルームのため</t>
  </si>
  <si>
    <t>ナチュラルビューティースクール福岡（インナーチャイルドセラピー）</t>
  </si>
  <si>
    <t>https://nljun.jimdofree.com/</t>
  </si>
  <si>
    <t>Jimdoドメインの個人プライベートサロンで心理セラピー提供のため</t>
  </si>
  <si>
    <t>Go-Body</t>
  </si>
  <si>
    <t>https://gobodyfukuoka.wixsite.com/website</t>
  </si>
  <si>
    <t>Wixドメインの福岡天神にある完全個室パーソナルトレーニングジムのため</t>
  </si>
  <si>
    <t>桜坂のプライベートヨガ空間 mokuyoga</t>
  </si>
  <si>
    <t>https://mokuyoga.jimdofree.com/</t>
  </si>
  <si>
    <t>Jimdoドメインの福岡市中央区にあるプライベートヨガスタジオのため</t>
  </si>
  <si>
    <t>整体善</t>
  </si>
  <si>
    <t>https://zen.hp.peraichi.com/dietfukuoka/</t>
  </si>
  <si>
    <t>ペライチドメインの個人運営マンツーマンダイエット整体のため</t>
  </si>
  <si>
    <t>ピラティススタジオ 3WATT</t>
  </si>
  <si>
    <t>https://service-dmc.wixsite.com/my-site-12432</t>
  </si>
  <si>
    <t>Wixドメインの博多区にある少人数・プライベート制ピラティススタジオのため</t>
  </si>
  <si>
    <t>いきまつ整体院</t>
  </si>
  <si>
    <t>https://ikimatuseitai.jimdofree.com/</t>
  </si>
  <si>
    <t>Jimdoドメインの福岡市西区にある個人運営の整体院のため</t>
  </si>
  <si>
    <t>自ら整えるピラティス（SAYAO）</t>
  </si>
  <si>
    <t>https://peraichi.com/landing_pages/view/pr380</t>
  </si>
  <si>
    <t>ペライチドメインの福岡市南区にある個人レッスン主体のピラティス教室のため</t>
  </si>
  <si>
    <t>からだバランスHiyori</t>
  </si>
  <si>
    <t>https://toukimushi.hp.peraichi.com/</t>
  </si>
  <si>
    <t>ペライチドメインの福岡市東区にある個人運営の当帰葉蒸し・ハーブテントサロンのため</t>
  </si>
  <si>
    <t>神経活性整体院KURATA</t>
  </si>
  <si>
    <t>https://kurata.hp.peraichi.com/hiza/</t>
  </si>
  <si>
    <t>ペライチドメインの個人運営整体院（福岡・大阪拠点）のため</t>
  </si>
  <si>
    <t>田中幸治のお悩み相談室</t>
  </si>
  <si>
    <t>https://totalhealthcounselor.jimdofree.com/</t>
  </si>
  <si>
    <t>Jimdoドメインの個人カウンセリングルームで独自メニュー提供のため</t>
  </si>
  <si>
    <t>美容整骨サロン kilie</t>
  </si>
  <si>
    <t>https://y443p9.wixsite.com/kilie/blank-1</t>
  </si>
  <si>
    <t>Wixドメインの女性専用完全予約制プライベートサロンのため</t>
  </si>
  <si>
    <t>整体院 慶（けい）</t>
  </si>
  <si>
    <t>https://seitaiin-kei.com/</t>
  </si>
  <si>
    <t>中央区薬院の個人整体院で理学療法士院長のマンツーマン施術主体のため</t>
  </si>
  <si>
    <t>和苑（なごみえん）</t>
  </si>
  <si>
    <t>https://nagomien.jp/</t>
  </si>
  <si>
    <t>博多区の個人運営サロンで整体術＋ストレッチの独自施術提供のため</t>
  </si>
  <si>
    <t>福ふく整骨院</t>
  </si>
  <si>
    <t>https://fukuokakenkokotsuhagashi.hp.peraichi.com/</t>
  </si>
  <si>
    <t>ペライチドメインの早良区にある地域密着型の個人運営整骨院のため</t>
  </si>
  <si>
    <t>心理カウンセラー 吉田さちえ</t>
  </si>
  <si>
    <t>https://ms-sachi.jimdofree.com/</t>
  </si>
  <si>
    <t>Jimdoドメインの個人カウンセラーで会員制動画と個別セッション中心のため</t>
  </si>
  <si>
    <t>けんこうらいふ</t>
  </si>
  <si>
    <t>https://kekoulife.jimdofree.com/</t>
  </si>
  <si>
    <t>Jimdoドメインの南区にある女性専用整体サロンで心理カウンセリングも併設しているため</t>
  </si>
  <si>
    <t>占いサロン虹 Rainbow</t>
  </si>
  <si>
    <t>https://zion627.amebaownd.com/</t>
  </si>
  <si>
    <t>Ameba Owndドメインの中央区天神にある完全予約制の個人鑑定サロンのため</t>
  </si>
  <si>
    <t>Vinegar（ドッグヨガ・マンツーマン）</t>
  </si>
  <si>
    <t>https://hiroko31vivian.wixsite.com/dogyoga/boarding__daycare</t>
  </si>
  <si>
    <t>Wixドメインの東区香椎照葉にあるマンツーマン主体の個人ヨガ教室のため</t>
  </si>
  <si>
    <t>整体サロンさくら</t>
  </si>
  <si>
    <t>https://seitaisakura102.jimdofree.com/</t>
  </si>
  <si>
    <t>Jimdoドメインの小倉北区女性専門整体サロンで完全予約制マンツーマン施術のため</t>
  </si>
  <si>
    <t>カウンセリングルーム陽だまりの樹</t>
  </si>
  <si>
    <t>https://hidamarinoki-yokko.jimdofree.com/</t>
  </si>
  <si>
    <t>Jimdoドメインの公認心理師個人運営カウンセリングルームのため</t>
  </si>
  <si>
    <t>心理カウンセラー竹下ともえ</t>
  </si>
  <si>
    <t>https://tomoe-takeshita.jimdofree.com/</t>
  </si>
  <si>
    <t>Jimdoドメインの個人カウンセラーによる講座・相談中心の小規模運営のため</t>
  </si>
  <si>
    <t>カウンセリングルーム ひまわり</t>
  </si>
  <si>
    <t>https://himawari-bc-care.jimdofree.com/</t>
  </si>
  <si>
    <t>Jimdoドメインの出張専門女性カウンセラー個人支援型サービスのため</t>
  </si>
  <si>
    <t>心理カウンセラー 前田満穂子</t>
  </si>
  <si>
    <t>https://miho-maeda.jimdofree.com/</t>
  </si>
  <si>
    <t>Jimdoドメインの公認心理師による地域密着型個人相談室のため</t>
  </si>
  <si>
    <t>こころアップ これから</t>
  </si>
  <si>
    <t>https://kokoroup.jimdofree.com/</t>
  </si>
  <si>
    <t>Jimdoドメインの独自アプローチ型個人カウンセリングルームのため</t>
  </si>
  <si>
    <t>mimosa_healingneo</t>
  </si>
  <si>
    <t>https://mimosa-healingneo16.amebaownd.com/</t>
  </si>
  <si>
    <t>Ameba Owndドメインの若松区自宅型完全予約制サロンのため</t>
  </si>
  <si>
    <t>Salon de Ribbon.</t>
  </si>
  <si>
    <t>https://salon-de-ribbon.amebaownd.com/</t>
  </si>
  <si>
    <t>Ameba Owndドメインの八幡西区自宅型フェイシャル個人サロンのため</t>
  </si>
  <si>
    <t>Relaxation room Rafu</t>
  </si>
  <si>
    <t>https://rafu-20170216.amebaownd.com/</t>
  </si>
  <si>
    <t>Ameba Owndドメインの小倉北区隠れ家型完全予約制サロンのため</t>
  </si>
  <si>
    <t>プライベートサロン KaRin</t>
  </si>
  <si>
    <t>https://karin18.amebaownd.com/</t>
  </si>
  <si>
    <t>Ameba Owndドメインのリンパケア中心完全予約制個人サロンのため</t>
  </si>
  <si>
    <t>プライベートサロン REA.</t>
  </si>
  <si>
    <t>https://r.goope.jp/salon-r101/</t>
  </si>
  <si>
    <t>Goopeドメインの八幡西区マンツーマン施術型個人サロンのため</t>
  </si>
  <si>
    <t>メイクレッスン ヴィタリテ</t>
  </si>
  <si>
    <t>https://r.goope.jp/vitalite</t>
  </si>
  <si>
    <t>Goopeドメインの一日一組限定マンツーマン指導型個人教室のため</t>
  </si>
  <si>
    <t>経絡リンパサロン 美仁伝</t>
  </si>
  <si>
    <t>https://bijinden.wixsite.com/website</t>
  </si>
  <si>
    <t>Wixドメインの小倉南区カウンセリング重視個人リンパサロンのため</t>
  </si>
  <si>
    <t>エステサロン アンジェ</t>
  </si>
  <si>
    <t>https://ange01030403.wixsite.com/-site</t>
  </si>
  <si>
    <t>Wixドメインの八幡西区心理ケア併設個人エステサロンのため</t>
  </si>
  <si>
    <t>セラピールーム佑海</t>
  </si>
  <si>
    <t>https://therapyroomyumi.wixsite.com/mysite</t>
  </si>
  <si>
    <t>Wixドメインの個人スピリチュアルカウンセリングルームのため</t>
  </si>
  <si>
    <t>Healing Garden Cornucopia</t>
  </si>
  <si>
    <t>https://conucopia.wixsite.com/conucopia</t>
  </si>
  <si>
    <t>Wixドメインの個人ヒーリング特化サロンのため</t>
  </si>
  <si>
    <t>アンジェリーク</t>
  </si>
  <si>
    <t>https://angelique-beaute.jimdofree.com/</t>
  </si>
  <si>
    <t>Jimdoドメインの小倉南区女性専用完全予約制個人サロンのため</t>
  </si>
  <si>
    <t>daisy（デイジー）</t>
  </si>
  <si>
    <t>https://daisy0507.jimdofree.com/</t>
  </si>
  <si>
    <t>Jimdoドメインの小倉南区完全予約制プライベートサロンのため</t>
  </si>
  <si>
    <t>黒崎黄土よもぎ蒸しカーム</t>
  </si>
  <si>
    <t>https://self-care-salon-carm.jimdofree.com/</t>
  </si>
  <si>
    <t>Jimdoドメインの八幡西区完全予約制プライベートサロンのため</t>
  </si>
  <si>
    <t>tica nail</t>
  </si>
  <si>
    <t>https://tica-nail.jimdofree.com/</t>
  </si>
  <si>
    <t>Jimdoドメインの小倉北区完全予約制個人ネイルサロンのため</t>
  </si>
  <si>
    <t>De I'm Ami</t>
  </si>
  <si>
    <t>https://de-im-ami.jimdofree.com/</t>
  </si>
  <si>
    <t>Jimdoドメインの八幡西区丁寧対応型完全予約制個人サロンのため</t>
  </si>
  <si>
    <t>ヘアーブースアレッジ北九州八幡東</t>
  </si>
  <si>
    <t>https://hb2arredge.hp.peraichi.com/</t>
  </si>
  <si>
    <t>ペライチドメインのマンツーマン対応個人ヘアサロンのため</t>
  </si>
  <si>
    <t>香音〜kanon〜</t>
  </si>
  <si>
    <t>https://komeco-kanon.hp.peraichi.com/</t>
  </si>
  <si>
    <t>ペライチドメインのマンツーマンレッスン対応個人教室のため</t>
  </si>
  <si>
    <t>private salon nikogao</t>
  </si>
  <si>
    <t>https://onnist.wixsite.com/nikogao</t>
  </si>
  <si>
    <t>Wixドメインの小倉南区一軒家完全予約制プライベートサロンのため</t>
  </si>
  <si>
    <t>marika bodycare salon</t>
  </si>
  <si>
    <t>https://peraichi.com/landing_pages/view/marikabodycaresalon/</t>
  </si>
  <si>
    <t>ペライチドメインの門司区女性限定完全予約制プライベートサロンのため</t>
  </si>
  <si>
    <t>private salon Uruwashi</t>
  </si>
  <si>
    <t>https://uruwashi2020.wixsite.com/salon/</t>
  </si>
  <si>
    <t>Wixドメインの小倉北区1日2名限定完全予約制個人エステサロンのため</t>
  </si>
  <si>
    <t>トータルボディケアサロン Grace</t>
  </si>
  <si>
    <t>https://grace-everafter.jimdofree.com/</t>
  </si>
  <si>
    <t>Jimdoドメインの若松区完全予約制地域密着型個人サロンのため</t>
  </si>
  <si>
    <t>エステサロン KATUKI</t>
  </si>
  <si>
    <t>https://katuki3.jimdofree.com/</t>
  </si>
  <si>
    <t>Jimdoドメインの完全予約制個人プライベートサロンのため</t>
  </si>
  <si>
    <t>hair&amp;design RUX</t>
  </si>
  <si>
    <t>https://r.goope.jp/rux/</t>
  </si>
  <si>
    <t>Goopeドメインのマンツーマン施術オーナー対応型個人サロンのため</t>
  </si>
  <si>
    <t>ANGEL hand あだち整体エステ</t>
  </si>
  <si>
    <t>https://angel-hand.crayonsite.info/</t>
  </si>
  <si>
    <t>Crayonドメインの小倉北区自宅型整体エステ個人サロンのため</t>
  </si>
  <si>
    <t>リンパマッサージサロン Brilliant</t>
  </si>
  <si>
    <t>https://brilliant-kyo.amebaownd.com/</t>
  </si>
  <si>
    <t>Ameba Owndドメインの小倉北区小規模個人リンパサロンのため</t>
  </si>
  <si>
    <t>アロマリンパケア TinkerBell</t>
  </si>
  <si>
    <t>https://aromalymphcaretinkerbell.amebaownd.com/</t>
  </si>
  <si>
    <t>Ameba Owndドメインの自宅型個人アロマケアサロンのため</t>
  </si>
  <si>
    <t>ロータスウェルネス鍼灸院</t>
  </si>
  <si>
    <t>http://lotuswellness.strikingly.com/</t>
  </si>
  <si>
    <t>Strikinglyドメインの個人鍼灸院でオンライン相談等小規模運営のため</t>
  </si>
  <si>
    <t>サロンF</t>
  </si>
  <si>
    <t>https://mi2xd.hp.peraichi.com/</t>
  </si>
  <si>
    <t>ペライチドメインの小倉北区完全予約制個室型個人マッサージサロンのため</t>
  </si>
  <si>
    <t>キャナリブラン</t>
  </si>
  <si>
    <t>https://kavachan.jimdofree.com/</t>
  </si>
  <si>
    <t>Jimdoドメインの戸畑区女性専用完全予約制個人サロンのため</t>
  </si>
  <si>
    <t>kaorino coccole（香りのコッコレ）</t>
  </si>
  <si>
    <t>https://kaorinococcole.jimdofree.com/</t>
  </si>
  <si>
    <t>Jimdoドメインの看護師運営完全予約制アロマ個人サロンのため</t>
  </si>
  <si>
    <t>脊椎セラピーサロン ららら</t>
  </si>
  <si>
    <t>https://v3-rarara.jimdofree.com/</t>
  </si>
  <si>
    <t>Jimdoドメインの女性専用完全予約制健康支援型個人サロンのため</t>
  </si>
  <si>
    <t>Rianna salon</t>
  </si>
  <si>
    <t>https://rianna39.amebaownd.com/</t>
  </si>
  <si>
    <t>Ameba Owndドメインの若松区自宅型地域密着個人サロンのため</t>
  </si>
  <si>
    <t>Blue daisy</t>
  </si>
  <si>
    <t>https://bluedaisy202102.amebaownd.com/</t>
  </si>
  <si>
    <t>Ameba Owndドメインの若松区完全予約制プライベートサロンのため</t>
  </si>
  <si>
    <t>頭痛専門 ひかり整体院</t>
  </si>
  <si>
    <t>https://kokura-hikari.jimdofree.com/</t>
  </si>
  <si>
    <t>Jimdoドメインの戸畑区頭痛特化完全予約制個人整体院のため</t>
  </si>
  <si>
    <t>リラクゼーションハウス Cocoa</t>
  </si>
  <si>
    <t>https://cocoa20200424.wixsite.com/cocoa</t>
  </si>
  <si>
    <t>Wixドメインのオーダーメイド施術型個人リラクゼーションサロンのため</t>
  </si>
  <si>
    <t>リラクゼーションサロン 沙羅双樹</t>
  </si>
  <si>
    <t>https://sarasouju.wixsite.com/salon</t>
  </si>
  <si>
    <t>Wixドメインの八幡西区経絡リンパ個人サロンのため</t>
  </si>
  <si>
    <t>4-Life パーソナルトレーニング</t>
  </si>
  <si>
    <t>https://4-life.wixsite.com/website</t>
  </si>
  <si>
    <t>Wixドメインの個人特化オンライン対応パーソナルトレーニングジムのため</t>
  </si>
  <si>
    <t>イタリア料理教室 クオーレ（プライベートレッスン）</t>
  </si>
  <si>
    <t>https://cuore.hp.peraichi.com/</t>
  </si>
  <si>
    <t>ペライチドメインのマンツーマン個人料理教室のため</t>
  </si>
  <si>
    <t>聴鈴心理相談室</t>
  </si>
  <si>
    <t>https://www.tinglingcounseling.com/</t>
  </si>
  <si>
    <t>Wixドメインの中央区にある中国語対応個人心理相談室のため</t>
  </si>
  <si>
    <t>まどろみの時間カウンセリングルーム</t>
  </si>
  <si>
    <t>https://madorominojikan.jimdofree.com/</t>
  </si>
  <si>
    <t>Jimdoドメインの中央区完全予約制個人カウンセリングルームのため</t>
  </si>
  <si>
    <t>にぎのわっか（女性と子どものためのカウンセリングルーム）</t>
  </si>
  <si>
    <t>https://niginowakka.jimdofree.com/</t>
  </si>
  <si>
    <t>Jimdoドメインの中央区女性子ども特化型個人カウンセリングルームのため</t>
  </si>
  <si>
    <t>鏡の部屋カウンセリングオフイス</t>
  </si>
  <si>
    <t>https://blessk77.wixsite.com/website-1</t>
  </si>
  <si>
    <t>Wixドメインの博多区精神分析的個人カウンセリングルームのため</t>
  </si>
  <si>
    <t>ハートケアカウンセラー 時枝正和</t>
  </si>
  <si>
    <t>https://heartcare-tokieda.wixsite.com/tokieda/</t>
  </si>
  <si>
    <t>Wixドメインの博多区対面支援型個人カウンセリングルームのため</t>
  </si>
  <si>
    <t>プライベートサロン ナチュレ</t>
  </si>
  <si>
    <t>https://na-ture.jimdofree.com/</t>
  </si>
  <si>
    <t>Jimdoドメインの博多区女性専用完全予約制個人サロンのため</t>
  </si>
  <si>
    <t>RK pilates studio</t>
  </si>
  <si>
    <t>https://ricom1109.wixsite.com/pilates</t>
  </si>
  <si>
    <t>Wixドメインの中央区完全予約制個人ピラティススタジオのため</t>
  </si>
  <si>
    <t>Petit Pinna studio（プティ ピナ）</t>
  </si>
  <si>
    <t>https://petitpinnastudio.wixsite.com/petitpinnastudio</t>
  </si>
  <si>
    <t>Wixドメインの中央区女性専用完全予約制パーソナルピラティススタジオのため</t>
  </si>
  <si>
    <t>レインドロップ＆アロマテラピーサロン栞～shiori～</t>
  </si>
  <si>
    <t>https://nyan2sky7.wixsite.com/salonshiori</t>
  </si>
  <si>
    <t>Wixドメインの博多区女性専用1日2名限定個人サロンのため</t>
  </si>
  <si>
    <t>整体院 善（早良区店）</t>
  </si>
  <si>
    <t>https://seitaizen.hp.peraichi.com/fukuoka/</t>
  </si>
  <si>
    <t>ペライチドメインの福岡市早良区マンツーマン指導型個人整体院のため</t>
  </si>
  <si>
    <t>プライベートサロン micocoro（ミココロ）</t>
  </si>
  <si>
    <t>https://yuankoumiyu.wixsite.com/my-site</t>
  </si>
  <si>
    <t>Wixドメインの福岡市城南区完全個室個人リンパサロンのため</t>
  </si>
  <si>
    <t>noi －内臓もみ－</t>
  </si>
  <si>
    <t>https://rh0618n0108.wixsite.com/noi-naizo</t>
  </si>
  <si>
    <t>Wixドメインの福岡市城南区完全予約制内臓ケア個人サロンのため</t>
  </si>
  <si>
    <t>Private salon Rania（ラニア）</t>
  </si>
  <si>
    <t>https://ranianailkaori.wixsite.com/rania</t>
  </si>
  <si>
    <t>Wixドメインの福岡市南区個人リンパ美容プライベートサロンのため</t>
  </si>
  <si>
    <t>プライベートサロン reethi（リーティ）</t>
  </si>
  <si>
    <t>https://reethi-k.jimdofree.com/</t>
  </si>
  <si>
    <t>Jimdoドメインの福岡市南区個人向け総合ケアプライベートサロンのため</t>
  </si>
  <si>
    <t>リラクゼーションサロン ninfea</t>
  </si>
  <si>
    <t>https://ninfeashinri20.jimdofree.com/</t>
  </si>
  <si>
    <t>Jimdoドメインの東区完全予約制で心理カウンセリング中心の個人サロンのため</t>
  </si>
  <si>
    <t>心理カウンセリング hanafuru</t>
  </si>
  <si>
    <t>https://hanafuru-2026.jimdofree.com/</t>
  </si>
  <si>
    <t>Jimdoドメインの東区香椎で来談者中心療法の個人セッション提供のため</t>
  </si>
  <si>
    <t>マラウェイコンディショニングサロン</t>
  </si>
  <si>
    <t>https://mullaway-seitai.hp.peraichi.com/</t>
  </si>
  <si>
    <t>ペライチドメインの糸島市女性専用マンツーマン整体サロンのため</t>
  </si>
  <si>
    <t>パーソナルトレーニングスタジオ BodyBrace</t>
  </si>
  <si>
    <t>https://bodybrace2018.wixsite.com/bodybrace</t>
  </si>
  <si>
    <t>Wixドメインの飯塚市完全予約制パーソナルジムのため</t>
  </si>
  <si>
    <t>ライフステージケアサロン ビューティーサロン愛</t>
  </si>
  <si>
    <t>https://aikala.hp.peraichi.com/</t>
  </si>
  <si>
    <t>ペライチドメインの春日市カウンセリング併用個人サロンのため</t>
  </si>
  <si>
    <t>やすらぎカウンセリングルーム</t>
  </si>
  <si>
    <t>https://jannedaarc-0618.jimdofree.com/</t>
  </si>
  <si>
    <t>Jimdoドメインの遠賀郡岡垣町にある小規模個人相談室のため</t>
  </si>
  <si>
    <t>自由庵・和心堂</t>
  </si>
  <si>
    <t>https://yanagawacity.wixsite.com/jiyuuanwashindou</t>
  </si>
  <si>
    <t>Wixドメインの柳川市整体＋カウンセリング個人サロンのため</t>
  </si>
  <si>
    <t>平生堂整体院</t>
  </si>
  <si>
    <t>https://heisei-do.jimdofree.com/</t>
  </si>
  <si>
    <t>Jimdoドメインの朝倉市院長手技主体の個人整体院のため</t>
  </si>
  <si>
    <t>癒しの隠れ家サロン mori no Refujio</t>
  </si>
  <si>
    <t>https://r.goope.jp/mori-no-refujio/]</t>
  </si>
  <si>
    <t>Goopeドメインの福岡市西区にある隠れ家整体×アロマ個人サロンのため</t>
  </si>
  <si>
    <t>Eyelash Salon Shiny</t>
  </si>
  <si>
    <t>https://o4rrh.crayonsite.info/</t>
  </si>
  <si>
    <t>Crayonドメインの北九州市にある完全個室自宅サロンで1対1施術のため</t>
  </si>
  <si>
    <t>pear-salonリンパマッサージ</t>
  </si>
  <si>
    <t>https://pear-salon.jimdofree.com/</t>
  </si>
  <si>
    <t>Jimdoドメインの久留米市女性専用自宅リンパ×よもぎ蒸し個人サロンのため</t>
  </si>
  <si>
    <t>リラクゼーションくるる</t>
  </si>
  <si>
    <t>https://kurururelax.jimdofree.com/</t>
  </si>
  <si>
    <t>Jimdoドメインの遠賀郡水巻町1対1対応の大人隠れ家自宅サロンのため</t>
  </si>
  <si>
    <t>気まぐれカウンセラーみかうさぎの心のエステ</t>
  </si>
  <si>
    <t>https://mikausagi.amebaownd.com/</t>
  </si>
  <si>
    <t>Ameba Owndドメインの個人カウンセリングで対話セッション中心のため</t>
  </si>
  <si>
    <t>Hikari.ラボ</t>
  </si>
  <si>
    <t>https://yuka-kazokumap.hp.peraichi.com/</t>
  </si>
  <si>
    <t>ペライチドメインの心身調和を目指す個人ラボで呼吸法等支援のため</t>
  </si>
  <si>
    <t>yoga studio eka</t>
  </si>
  <si>
    <t>https://yogaeka.jimdofree.com/</t>
  </si>
  <si>
    <t>Jimdoドメインの福岡市南区完全個室プライベートヨガ個人スタジオのため</t>
  </si>
  <si>
    <t>MIZOROヨガカウンセリングルーム</t>
  </si>
  <si>
    <t>https://mizoro-k55.jimdofree.com/</t>
  </si>
  <si>
    <t>Jimdoドメインの完全予約制でヨガ×カウンセリング個人支援のため</t>
  </si>
  <si>
    <t>未来実現のための 90日自己変容コーチング</t>
  </si>
  <si>
    <t>https://butterfly-coaching.hp.peraichi.com/</t>
  </si>
  <si>
    <t>ペライチドメインのマンツーマン個人コーチングプログラムのため</t>
  </si>
  <si>
    <t>向日葵（恋愛婚活カウンセリング）</t>
  </si>
  <si>
    <t>https://awh-sensai.hp.peraichi.com/</t>
  </si>
  <si>
    <t>ペライチドメインの1日1名限定恋愛婚活カウンセリング個人運営のため</t>
  </si>
  <si>
    <t>Office Your Partner</t>
  </si>
  <si>
    <t>https://y-nlp-partner.hp.peraichi.com/</t>
  </si>
  <si>
    <t>ペライチドメインの個人コーチング・カウンセリング支援のため</t>
  </si>
  <si>
    <t>はんなり（嘉麻市イーマサウンド整体）</t>
  </si>
  <si>
    <t>https://hananari.jimdofree.com/</t>
  </si>
  <si>
    <t>Jimdoドメインの嘉麻市ヒーリング×整体の個人サロンのため</t>
  </si>
  <si>
    <t>https://r.goope.jp/mori-no-refujio/</t>
  </si>
  <si>
    <t>くつろぎ鍼灸院 konohana</t>
  </si>
  <si>
    <t>https://kutsurogi-89massage.jimdofree.com/</t>
  </si>
  <si>
    <t>Jimdoドメインの小郡市完全予約制個人鍼灸院のため</t>
  </si>
  <si>
    <t>整体院 康善</t>
  </si>
  <si>
    <t>https://ayame-to-genji-to.wixsite.com/website</t>
  </si>
  <si>
    <t>Wixドメインの八女市1日5名限定美容スポーツ整体個人院のため</t>
  </si>
  <si>
    <t>八女美容整体サロン</t>
  </si>
  <si>
    <t>https://yamebiyouseitai.hp.peraichi.com/yameseikotuin</t>
  </si>
  <si>
    <t>ペライチドメインの八女市完全予約制プライベート整体サロンのため</t>
  </si>
  <si>
    <t>アロマ 聖（ひじり）</t>
  </si>
  <si>
    <t>https://aromahijiri.jimdofree.com/</t>
  </si>
  <si>
    <t>Jimdoドメインの大牟田市自宅型隠れ家アロマ個人サロンのため</t>
  </si>
  <si>
    <t>プライベートサロン マール</t>
  </si>
  <si>
    <t>https://mayumarl333.wixsite.com/-site</t>
  </si>
  <si>
    <t>Wixドメインの柳川市五感調整型個人プライベートサロンのため</t>
  </si>
  <si>
    <t>GIFTリラクゼーション</t>
  </si>
  <si>
    <t>https://5att0.hp.peraichi.com/</t>
  </si>
  <si>
    <t>ペライチドメインの久留米市マンション一室完全予約制個人サロンのため</t>
  </si>
  <si>
    <t>あいのわ アロマ＆ヒーリングスペース</t>
  </si>
  <si>
    <t>https://ainowaaroma333.jimdofree.com/</t>
  </si>
  <si>
    <t>Jimdoドメインの久留米市完全予約制オールハンド施術個人サロンのため</t>
  </si>
  <si>
    <t>梅﨑元希メンタルサポート</t>
  </si>
  <si>
    <t>https://hilmental-109.jimdofree.com/</t>
  </si>
  <si>
    <t>Jimdoドメインの大牟田市対話中心個人メンタルサポートのため</t>
  </si>
  <si>
    <t>色彩心理 Colorful</t>
  </si>
  <si>
    <t>https://mieko1016color.jimdofree.com/</t>
  </si>
  <si>
    <t>Jimdoドメインの久留米市中心カラーセラピー個人セッションのため</t>
  </si>
  <si>
    <t>ちえこはりお灸院</t>
  </si>
  <si>
    <t>https://chieko-hari-okyuin.wixsite.com/chieko</t>
  </si>
  <si>
    <t>Wixドメインの筑後市完全予約制紹介制個人鍼灸院のため</t>
  </si>
  <si>
    <t>ヨガ＆フーレセラピーゆるりら</t>
  </si>
  <si>
    <t>https://yururelatakemae.wixsite.com/-site</t>
  </si>
  <si>
    <t>Wixドメインの久留米市女性専用完全予約制個人ヨガサロンのため</t>
  </si>
  <si>
    <t>家族の爪ケア専門店 カルミア</t>
  </si>
  <si>
    <t>https://l8gdt.hp.peraichi.com/</t>
  </si>
  <si>
    <t>ペライチドメインのうきは市完全予約制プライベート爪ケア個人サロンのため</t>
  </si>
  <si>
    <t>リラクゼーションルーム mion 【ミオン】</t>
  </si>
  <si>
    <t>https://mion2021.amebaownd.com/</t>
  </si>
  <si>
    <t>Ameba Owndドメインの久留米市三潴町にある完全予約制オールハンド自宅個人サロンのため</t>
  </si>
  <si>
    <t>yuntaku－ゆんたくー</t>
  </si>
  <si>
    <t>https://yuntaku-matricaria.amebaownd.com/</t>
  </si>
  <si>
    <t>Ameba Owndドメインの筑後市にある小さな自宅個人サロンで対話と癒し提供のため</t>
  </si>
  <si>
    <t>nails T H R E E</t>
  </si>
  <si>
    <t>https://nailsthree.amebaownd.com/</t>
  </si>
  <si>
    <t>Ameba Owndドメインの柳川市自宅ネイル個人サロンでカウンセリング重視のため</t>
  </si>
  <si>
    <t>光（みつ）・ターシャの世界</t>
  </si>
  <si>
    <t>https://mitsutasha.jimdofree.com/</t>
  </si>
  <si>
    <t>Jimdoドメインの久留米市自宅サロンでタロット個人セッション中心のため</t>
  </si>
  <si>
    <t>最強のネイルケア（うきは）</t>
  </si>
  <si>
    <t>https://qvr42.hp.peraichi.com/</t>
  </si>
  <si>
    <t>ペライチドメインのうきは市看板なし自宅サロンで1対1対応のため</t>
  </si>
  <si>
    <t>サロン・アプローズ</t>
  </si>
  <si>
    <t>https://salon-applause.jimdofree.com/</t>
  </si>
  <si>
    <t>Jimdoドメインの大牟田市自宅サロンでレイキ等個人セッション提供のため</t>
  </si>
  <si>
    <t>Petite Salon H (ぷちサロンえいち)</t>
  </si>
  <si>
    <t>https://petit-saron-h.jimdofree.com/</t>
  </si>
  <si>
    <t>Jimdoドメインの筑後市西牟田の完全予約制隠れ家個人サロンのため</t>
  </si>
  <si>
    <t>Relaxation Salon セグレイト</t>
  </si>
  <si>
    <t>https://asopu.crayonsite.info/</t>
  </si>
  <si>
    <t>Crayonドメインの久留米市完全予約制で周りを気にせず過ごせる個人サロンのため</t>
  </si>
  <si>
    <t>Hikari salon（大牟田）</t>
  </si>
  <si>
    <t>https://salonleem.wixsite.com/netorabasuthi/blank-1</t>
  </si>
  <si>
    <t>Wixドメインの大牟田市でネトラバスティ等専門ケア提供の個人サロンのため</t>
  </si>
  <si>
    <t>こころと香りの訪問セラピー FuWaRi</t>
  </si>
  <si>
    <t>https://ms-fuwari.amebaownd.com/</t>
  </si>
  <si>
    <t>Ameba Owndドメインの訪問型個人セラピーで対話支援中心のため</t>
  </si>
  <si>
    <t>H.S.Peace（久留米）</t>
  </si>
  <si>
    <t>https://peace-recruit.hp.peraichi.com/</t>
  </si>
  <si>
    <t>ペライチドメインの久留米市完全マンツーマン美容室のため</t>
  </si>
  <si>
    <t>Taoネイル（大牟田）</t>
  </si>
  <si>
    <t>https://nailmatrix16.wixsite.com/tao3/nailschool-taonail-omuta</t>
  </si>
  <si>
    <t>Wixドメインの大牟田市マンツーマン指導の個人サロン兼スクールのため</t>
  </si>
  <si>
    <t>LIGHTHOUSE（ライトハウス）</t>
  </si>
  <si>
    <t>https://salon-lh.jimdofree.com/</t>
  </si>
  <si>
    <t>Jimdoドメインの西鉄平尾駅近くにある事前カウンセリング重視の個人サロンのため</t>
  </si>
  <si>
    <t>ヒーリングサロン空(くう)</t>
  </si>
  <si>
    <t>https://peraichi.com/landing_pages/view/horagenki</t>
  </si>
  <si>
    <t>ペライチドメインの西鉄井尻駅徒歩圏内で氣功や相談支援を行う個人サロンのため</t>
  </si>
  <si>
    <t>リラクゼーションサロン ラクサノハナ</t>
  </si>
  <si>
    <t>https://raksanohana.jimdofree.com/</t>
  </si>
  <si>
    <t>Jimdoドメインの西鉄下大利駅近く完全予約制プライベート個人サロンのため</t>
  </si>
  <si>
    <t>HAIR SALON Y3春日原店</t>
  </si>
  <si>
    <t>https://atelier-y3k.jimdofree.com/</t>
  </si>
  <si>
    <t>Jimdoドメインの西鉄春日原駅近くマンツーマン施術小規模美容室のため</t>
  </si>
  <si>
    <t>hearty（ハーティ）</t>
  </si>
  <si>
    <t>https://hearty2015.wixsite.com/hearty/new</t>
  </si>
  <si>
    <t>Wixドメインの西鉄桜台駅徒歩圏内マンション型完全予約制個人サロンのため</t>
  </si>
  <si>
    <t>NASUパーソナルトレーニングジム</t>
  </si>
  <si>
    <t>https://nasuptg.wixsite.com/ogori</t>
  </si>
  <si>
    <t>Wixドメインの西鉄小郡駅徒歩圏内カウンセリング無料個人パーソナルジムのため</t>
  </si>
  <si>
    <t>シェアサロンぬるまゆ西鉄久留米店</t>
  </si>
  <si>
    <t>https://lqd6w.hp.peraichi.com/</t>
  </si>
  <si>
    <t>ペライチドメインの西鉄久留米駅近く個人事業主支援型シェアサロン拠点のため</t>
  </si>
  <si>
    <t>金光教筑紫本郷教会（心の悩み相談室）</t>
  </si>
  <si>
    <t>https://chikushihongokonko.wixsite.com/chikushihongo/onayamisoudan</t>
  </si>
  <si>
    <t>Wixドメインの西鉄安武駅周辺で個人相談支援を行う相談室のため</t>
  </si>
  <si>
    <t>美容室coloris(コロリ)</t>
  </si>
  <si>
    <t>https://coloris6-20.jimdofree.com/</t>
  </si>
  <si>
    <t>Jimdoドメインの西鉄大善寺駅近くオーナーマンツーマン施術美容室のため</t>
  </si>
  <si>
    <t>りずむ整体院</t>
  </si>
  <si>
    <t>https://rizumuseitai.jimdofree.com/</t>
  </si>
  <si>
    <t>Jimdoドメインの西鉄柳川周辺女性整体師運営の隠れ家個人サロンのため</t>
  </si>
  <si>
    <t>beauty salon * moana *（モアナ）</t>
  </si>
  <si>
    <t>https://beautysalonmoana.wixsite.com/moana</t>
  </si>
  <si>
    <t>Wixドメインの西鉄新栄町駅近くカウンセリング重視個人アイサロンのため</t>
  </si>
  <si>
    <t>なかとも整骨院</t>
  </si>
  <si>
    <t>https://nakatomo-seikotsuin.hp.peraichi.com/top/</t>
  </si>
  <si>
    <t>ペライチドメインの大牟田市完全予約制初回カウンセリング重視整骨院のため</t>
  </si>
  <si>
    <t>パーソナルジム Y-FIT-238</t>
  </si>
  <si>
    <t>https://yfit238.hp.peraichi.com/</t>
  </si>
  <si>
    <t>ペライチドメインの天神舞鶴エリアで無料カウンセリング重視の個人パーソナルジムのため</t>
  </si>
  <si>
    <t>ハピネスカラー（天神）</t>
  </si>
  <si>
    <t>https://happiness-color.jimdofree.com/</t>
  </si>
  <si>
    <t>Jimdoドメインの天神駅近くで個人カラーカウンセリング提供のため</t>
  </si>
  <si>
    <t>ストレッチエクササイズ cocosia</t>
  </si>
  <si>
    <t>https://cocosia31.wixsite.com/home</t>
  </si>
  <si>
    <t>Wixドメインの薬院駅近くで個人少人数向けストレッチレッスン提供のため</t>
  </si>
  <si>
    <t>銀座まるかん 天使の風</t>
  </si>
  <si>
    <t>https://tensinokaze888.wixsite.com/casablanca</t>
  </si>
  <si>
    <t>Wixドメインの西鉄平尾駅徒歩圏内でスピリチュアル相談等を行う個人サロンのため</t>
  </si>
  <si>
    <t>Life Conditioning Studio</t>
  </si>
  <si>
    <t>https://officehoa7271.wixsite.com/website/syuttyou</t>
  </si>
  <si>
    <t>Wixドメインの高宮駅徒歩圏内で整体ヨガの個別コンディショニング提供のため</t>
  </si>
  <si>
    <t>グリーンリーフ博多</t>
  </si>
  <si>
    <t>https://green-leaf-hakata.jimdofree.com/</t>
  </si>
  <si>
    <t>Jimdoドメインの大橋駅徒歩圏内で温活＋無料相談も行う個人サロンのため</t>
  </si>
  <si>
    <t>道の駅整骨院</t>
  </si>
  <si>
    <t>https://michinoeki-seikotsuin.jimdofree.com/</t>
  </si>
  <si>
    <t>Jimdoドメインの雑餉隈駅徒歩2分で心のケア併設の個人整骨院のため</t>
  </si>
  <si>
    <t>もみほぐし整体 春日原店</t>
  </si>
  <si>
    <t>https://y2gxr.hp.peraichi.com/</t>
  </si>
  <si>
    <t>ペライチドメインの春日原駅近く職人マンツーマン施術の小規模整体院のため</t>
  </si>
  <si>
    <t>CherryBlossom〜桜〜</t>
  </si>
  <si>
    <t>https://cherryblossom-sakura-04.jimdofree.com/</t>
  </si>
  <si>
    <t>Jimdoドメインの下大利駅近く完全予約制カウンセリングルームのため</t>
  </si>
  <si>
    <t>プライベートサロン Rtam（ルタム）</t>
  </si>
  <si>
    <t>https://ryou6134.wixsite.com/rtum</t>
  </si>
  <si>
    <t>Wixドメインの薬院駅徒歩2分マンション一室ワンオーナー個人サロンのため</t>
  </si>
  <si>
    <t>タイ古式マッサージ ロータス</t>
  </si>
  <si>
    <t>https://lotus-thai.jimdofree.com/</t>
  </si>
  <si>
    <t>Jimdoドメインの薬院駅徒歩圏内1名様限定貸切の隠れ家個人サロンのため</t>
  </si>
  <si>
    <t>リンパサロン＆スクール Fuwafuwa</t>
  </si>
  <si>
    <t>https://lymphschoolfuwafuw.wixsite.com/fukuoka</t>
  </si>
  <si>
    <t>Wixドメインの薬院エリア住所非公開の完全予約制自宅個人サロンのため</t>
  </si>
  <si>
    <t>ZERO ONE PRIVATE GYM</t>
  </si>
  <si>
    <t>https://yoshitakakajiwara1.wixsite.com/zeroone</t>
  </si>
  <si>
    <t>Wixドメインの薬院駅徒歩2分完全個室マンツーマン個人ジムのため</t>
  </si>
  <si>
    <t>パワーボム（リラクゼーションサロン ワンシープ）</t>
  </si>
  <si>
    <t>https://power-bomb.jimdofree.com/</t>
  </si>
  <si>
    <t>Jimdoドメインの薬院駅徒歩圏内完全個室で深夜営業もある個人サロンのため</t>
  </si>
  <si>
    <t>マリアリーフ</t>
  </si>
  <si>
    <t>https://r.goope.jp/marialeaf</t>
  </si>
  <si>
    <t>Goopeドメインの大橋駅徒歩圏内マンション一室完全予約制ハーブアロマ個人サロンのため</t>
  </si>
  <si>
    <t>tianail3（ティアネイル）</t>
  </si>
  <si>
    <t>https://tianail3.hp.peraichi.com/</t>
  </si>
  <si>
    <t>ペライチドメインの大橋駅近辺自宅ネイル個人サロンで接客とカウンセリング重視のため</t>
  </si>
  <si>
    <t>ヒーリング・カウンセリング nsb</t>
  </si>
  <si>
    <t>https://nsb-hp-toshiko.jimdofree.com/</t>
  </si>
  <si>
    <t>Jimdoドメインの薬院天神エリア完全予約制の個人相談室（スピ系支援）のため</t>
  </si>
  <si>
    <t>Nail&amp;Beauty Salon Sis</t>
  </si>
  <si>
    <t>https://tqst2.hp.peraichi.com/</t>
  </si>
  <si>
    <t>ペライチドメインの薬院駅徒歩圏内少人数アットホーム運営の個人サロンのため</t>
  </si>
  <si>
    <t>seitai mamano</t>
  </si>
  <si>
    <t>https://kanaiwa888.wixsite.com/-site</t>
  </si>
  <si>
    <t>Wixドメインの桜並木・雑餉隈周辺マンション一室でロングセッション対応の個人整体院のため</t>
  </si>
  <si>
    <t>〜LaLaLa〜 バレルサウナ</t>
  </si>
  <si>
    <t>https://r.goope.jp/lalala-barrel/about</t>
  </si>
  <si>
    <t>Goopeドメインの雑餉隈駅徒歩圏内マンション内完全予約制プライベートサウナのため</t>
  </si>
  <si>
    <t>リトリートサロン フォレスト</t>
  </si>
  <si>
    <t>https://kazukoshimojo.wixsite.com/forest</t>
  </si>
  <si>
    <t>Wixドメインの大野城市で住所非公開かつ事前カウンセリング重視の個人サロンのため</t>
  </si>
  <si>
    <t>腸活サロン relief 〜リリーフ〜</t>
  </si>
  <si>
    <t>https://tyuki1021.wixsite.com/-site</t>
  </si>
  <si>
    <t>Wixドメインの春日原駅徒歩圏内女性限定完全予約制完全個室個人サロンのため</t>
  </si>
  <si>
    <t>nails-nao</t>
  </si>
  <si>
    <t>https://nails-nao.jimdofree.com/</t>
  </si>
  <si>
    <t>Jimdoドメインの大野城市隠れ家型個人ネイルサロンで多様ケア提供のため</t>
  </si>
  <si>
    <t>こうじや整骨院（太宰府）</t>
  </si>
  <si>
    <t>https://koujiya-dazaifu.jimdofree.com/</t>
  </si>
  <si>
    <t>Jimdoドメインの太宰府市完全予約制で予約重複回避の個人整骨院のため</t>
  </si>
  <si>
    <t>リラクゼーションサロン ⅭOⅭOÑ</t>
  </si>
  <si>
    <t>https://cocon71830511.wixsite.com/website</t>
  </si>
  <si>
    <t>Wixドメインの筑紫野太宰府エリア完全個室で経験豊富なオーナー個人運営のため</t>
  </si>
  <si>
    <t>GIFTホームセラピストスクール</t>
  </si>
  <si>
    <t>https://bu7ad.hp.peraichi.com/</t>
  </si>
  <si>
    <t>ペライチドメインの花畑駅・西鉄久留米駅周辺マンション内のスクール兼サロンのため</t>
  </si>
  <si>
    <t>ヒーリングサロン HALE-はれ-</t>
  </si>
  <si>
    <t>https://hale.crayonsite.info/</t>
  </si>
  <si>
    <t>Crayonドメインの筑後地区にある個人ヒーリングサロンのため</t>
  </si>
  <si>
    <t>Dentalサロン SaAya</t>
  </si>
  <si>
    <t>https://dental-salon-saaya.crayonsite.info/</t>
  </si>
  <si>
    <t>Crayonドメインの大牟田市中白川町にある個人プライベートサロンのため</t>
  </si>
  <si>
    <t>SENSU hair salon&amp;wedding</t>
  </si>
  <si>
    <t>http://r.goope.jp/sensu</t>
  </si>
  <si>
    <t>Goopeドメインの久留米市内にある個人経営ヘアサロンのため</t>
  </si>
  <si>
    <t>LUVIA fitness</t>
  </si>
  <si>
    <t>https://fitness-style1.jimdofree.com/</t>
  </si>
  <si>
    <t>Jimdoドメインの西鉄久留米駅付近にある完全個室パーソナルトレーニングルームのため</t>
  </si>
  <si>
    <t>de・miparati（INDIBA）</t>
  </si>
  <si>
    <t>https://demiparatiindiba.wixsite.com/demiparati</t>
  </si>
  <si>
    <t>Wixドメインの西鉄久留米駅近くにある完全予約制プライベートサロンのため</t>
  </si>
  <si>
    <t>Plume blanche（プリュム ブランシュ）</t>
  </si>
  <si>
    <t>https://plume-b.jimdofree.com/</t>
  </si>
  <si>
    <t>Jimdoドメインの久留米市内にある一日3名限定プライベートサロンのため</t>
  </si>
  <si>
    <t>AILINDA BEAUTY（アイリンダ）</t>
  </si>
  <si>
    <t>https://ailinda.jimdofree.com/</t>
  </si>
  <si>
    <t>Jimdoドメインの久留米市東町にある完全予約制女性限定サロンのため</t>
  </si>
  <si>
    <t>comfort House あらん</t>
  </si>
  <si>
    <t>https://comfortaran.jimdofree.com/</t>
  </si>
  <si>
    <t>Jimdoドメインの西鉄柳川駅周辺にある女性専用占い鑑定所のため</t>
  </si>
  <si>
    <t>岡藤タカヤ ギター教室</t>
  </si>
  <si>
    <t>https://takayanoyakata.jimdofree.com/</t>
  </si>
  <si>
    <t>Jimdoドメインの久留米市内にある自宅レッスン主体の個人教室のため</t>
  </si>
  <si>
    <t>トータルケア.R</t>
  </si>
  <si>
    <t>https://salonleem.wixsite.com/netorabasuthi/blank-2</t>
  </si>
  <si>
    <t>Wixドメインの久留米市内にある隠れ家型個人サロンのため</t>
  </si>
  <si>
    <t>特徴/メモ</t>
  </si>
  <si>
    <t>ながせ心理相談室</t>
  </si>
  <si>
    <t>https://www.nagoya-counseling.info/</t>
  </si>
  <si>
    <t>臨床心理士／完全予約制／Web構成・情報整理良好</t>
  </si>
  <si>
    <t>ルーセントメンタルヘルスマネジメント（LMM）</t>
  </si>
  <si>
    <t>https://www.lucent-mental.com/counseling/</t>
  </si>
  <si>
    <t>臨床心理士・公認心理師／名駅直結／法人色あり</t>
  </si>
  <si>
    <t>本郷こころのカウンセリングセンター</t>
  </si>
  <si>
    <t>https://hongo-kokoro.com/</t>
  </si>
  <si>
    <t>臨床心理士／オンライン対応／料金明確</t>
  </si>
  <si>
    <t>こころの専門家 ココロノオト</t>
  </si>
  <si>
    <t>https://www.kokorosound.com/</t>
  </si>
  <si>
    <t>女性専用／完全予約制／多様な相談形式</t>
  </si>
  <si>
    <t>自律神経ケアサロン lani</t>
  </si>
  <si>
    <t>https://lani-nagoya.com/</t>
  </si>
  <si>
    <t>自律神経ケア／個人サロン／独立ドメイン</t>
  </si>
  <si>
    <t>アロマテラピー&amp;アーユルヴェーダ ラコスタ</t>
  </si>
  <si>
    <t>http://salondelacosta.com/</t>
  </si>
  <si>
    <t>女性専用／完全予約制／Web構成良好</t>
  </si>
  <si>
    <t>名古屋スピリチュアルカウンセリング</t>
  </si>
  <si>
    <t>https://uranai-1to1.com/</t>
  </si>
  <si>
    <t>霊視・オーラ鑑定／独立ドメイン</t>
  </si>
  <si>
    <t>アロマヒーリングサロンPasion</t>
  </si>
  <si>
    <t>https://reserva.be/pasion/about</t>
  </si>
  <si>
    <t>女性専用／予約システム中心だが情報整理良好</t>
  </si>
  <si>
    <t>カウンセリング*スペース こころの気持ち</t>
  </si>
  <si>
    <t>https://www.cs-kokoronokimoti.net/</t>
  </si>
  <si>
    <t>傾聴・対話中心／情報散在</t>
  </si>
  <si>
    <t>心理カウンセリングオフィスうらら</t>
  </si>
  <si>
    <t>https://ula-la.jp/36/57/</t>
  </si>
  <si>
    <t>名駅近く／構成簡素</t>
  </si>
  <si>
    <t>ブレイントレイン名古屋</t>
  </si>
  <si>
    <t>https://braintrainnagoya.work/counseling/</t>
  </si>
  <si>
    <t>NLP・解決志向／情報不足</t>
  </si>
  <si>
    <t>名古屋はじめの一歩</t>
  </si>
  <si>
    <t>https://nagoyahajimenoippo.com/service/</t>
  </si>
  <si>
    <t>自己実現支援／情報不足</t>
  </si>
  <si>
    <t>Sophia心理カウンセリング</t>
  </si>
  <si>
    <t>https://sophia-21.com/services/counseling</t>
  </si>
  <si>
    <t>完全予約制／料金明記あるが構成弱い</t>
  </si>
  <si>
    <t>小規模プライベートサロン（複数）</t>
  </si>
  <si>
    <t>https://beauty.hotpepper.jp/relax/svcSC/macCA/grcGR01_spdL124/</t>
  </si>
  <si>
    <t>ホットペッパー依存／独立サイトなし</t>
  </si>
  <si>
    <t>名古屋・金山の完全予約制リラクゼーション</t>
  </si>
  <si>
    <t>https://layana-relaxation.com/</t>
  </si>
  <si>
    <t>完全個室／構成・導線弱い</t>
  </si>
  <si>
    <t>ハンドセラピスト肌質改善専門サロン～le´a～</t>
  </si>
  <si>
    <t>https://lea0910.jp/</t>
  </si>
  <si>
    <t>女性専用／情報散在</t>
  </si>
  <si>
    <t>完全予約制relaxation salon OIDE</t>
  </si>
  <si>
    <t>https://oide222.com/2023/05/19/2/</t>
  </si>
  <si>
    <t>ブログ下層ページのみ</t>
  </si>
  <si>
    <t>レインドロップ アロマヒーリングサロンPASION</t>
  </si>
  <si>
    <t>https://coubic.com/raindrop</t>
  </si>
  <si>
    <t>予約システム中心／情報散在</t>
  </si>
  <si>
    <t>名古屋占いカフェ スピリチュアル</t>
  </si>
  <si>
    <t>https://uranaicafe.jp/spiritual/list.php</t>
  </si>
  <si>
    <t>ポータル型／独立性弱い</t>
  </si>
  <si>
    <t>占いの館ノア</t>
  </si>
  <si>
    <t>https://noa-fortune.com/</t>
  </si>
  <si>
    <t>老舗／情報・導線が古い”</t>
  </si>
  <si>
    <t>心の悩み相談室 和む</t>
  </si>
  <si>
    <t>https://kokorononayamisoudanshitsu-nagomu.com/</t>
  </si>
  <si>
    <t>対人関係専門／完全予約制／情報整理良好</t>
  </si>
  <si>
    <t>カウンセリングルームAngeli</t>
  </si>
  <si>
    <t>https://counseling-angeli.net/</t>
  </si>
  <si>
    <t>ヒプノセラピー／完全予約制／独立ドメイン</t>
  </si>
  <si>
    <t>カウンセリングオフィス みかわ</t>
  </si>
  <si>
    <t>https://cslmikawa.jp/</t>
  </si>
  <si>
    <t>心理検査対応／Web構成良好</t>
  </si>
  <si>
    <t>四季奏わか</t>
  </si>
  <si>
    <t>https://www.waka-counseling.com/counseling.php</t>
  </si>
  <si>
    <t>心身トータルサポート／構成良好</t>
  </si>
  <si>
    <t>一宮駅前カウンセリング</t>
  </si>
  <si>
    <t>https://relaxlabo.mystrikingly.com/</t>
  </si>
  <si>
    <t>駅近／リモート対応／Strikingly</t>
  </si>
  <si>
    <t>カウンセリングオフィスLINKS</t>
  </si>
  <si>
    <t>https://links-counseling.mystrikingly.com/</t>
  </si>
  <si>
    <t>オンライン対応／夜間土日可</t>
  </si>
  <si>
    <t>NPO法人メンタルセラピスト協会</t>
  </si>
  <si>
    <t>https://mta-nanairo.jimdoweb.com/</t>
  </si>
  <si>
    <t>Jimdo／情報散在</t>
  </si>
  <si>
    <t>コミュニケーション・セルフケアー講座</t>
  </si>
  <si>
    <t>https://kokoronodoor.net/service-title-1/</t>
  </si>
  <si>
    <t>講座中心／情報散在</t>
  </si>
  <si>
    <t>占いミザリー（豊田）</t>
  </si>
  <si>
    <t>https://mizary.com/toyota/</t>
  </si>
  <si>
    <t>占い／情報散在</t>
  </si>
  <si>
    <t>ETERNAL COMFORT</t>
  </si>
  <si>
    <t>http://www.ishihara-clinic.jp/eternal/</t>
  </si>
  <si>
    <t>医療併設／情報散在</t>
  </si>
  <si>
    <t>心ほっこりカフェ</t>
  </si>
  <si>
    <t>https://hokkoricafe.com/</t>
  </si>
  <si>
    <t>傾聴中心／構成弱い</t>
  </si>
  <si>
    <t>天使のコンシェルジュ</t>
  </si>
  <si>
    <t>https://tenshinooka.jimdofree.com/</t>
  </si>
  <si>
    <t>Jimdo無料／情報散在</t>
  </si>
  <si>
    <t>愛ハピネス</t>
  </si>
  <si>
    <t>https://aihappiness.jp/</t>
  </si>
  <si>
    <t>スピリチュアル鑑定／構成弱い</t>
  </si>
  <si>
    <t>一宮むすび心療内科</t>
  </si>
  <si>
    <t>https://www.i-musubi.com/information.html</t>
  </si>
  <si>
    <t>医療系／情報散在</t>
  </si>
  <si>
    <t>NPO法人次世代育成支援機構</t>
  </si>
  <si>
    <t>https://npo-jisedai.org/service.html</t>
  </si>
  <si>
    <t>支援系／構成弱い</t>
  </si>
  <si>
    <t>アロハウス</t>
  </si>
  <si>
    <t>https://beauty.hotpepper.jp/kr/slnH000714722/</t>
  </si>
  <si>
    <t>ホットペッパーのみ</t>
  </si>
  <si>
    <t>心癒空間138</t>
  </si>
  <si>
    <t>https://www.facebook.com/hearthealingspace/</t>
  </si>
  <si>
    <t>Facebook中心</t>
  </si>
  <si>
    <t>占いミザリー（一宮）</t>
  </si>
  <si>
    <t>https://mizary.com/ichinomiya/</t>
  </si>
  <si>
    <t>柴田 桃子（心理カウンセリング）</t>
  </si>
  <si>
    <t>https://yukari.counseling1.jp/access/ichinomiya/</t>
  </si>
  <si>
    <t>女性向け／情報散在</t>
  </si>
  <si>
    <t>Ryo Counseling Room</t>
  </si>
  <si>
    <t>https://ryo-counseling.com/</t>
  </si>
  <si>
    <t>臨床心理士・公認心理師／情報整理良好／豊橋・豊川等対応</t>
  </si>
  <si>
    <t>cocoRoサロン直</t>
  </si>
  <si>
    <t>https://cocoronao.com/</t>
  </si>
  <si>
    <t>女性臨床心理士・公認心理師／駅近／完全予約制</t>
  </si>
  <si>
    <t>さんぽ幸せ研究所</t>
  </si>
  <si>
    <t>https://www.facebook.com/sanpohappylabo/</t>
  </si>
  <si>
    <t>Facebook運営（SNS中心だが導線あり）</t>
  </si>
  <si>
    <t>O-RINAS結婚相談所</t>
  </si>
  <si>
    <t>https://o-rinas.jp/contact/</t>
  </si>
  <si>
    <t>婚活カウンセリング／構成良好／予約制</t>
  </si>
  <si>
    <t>心理カウンセリング&amp;リンパセラピールームeau（エミュウ）</t>
  </si>
  <si>
    <t>https://eau1.jimdofree.com/</t>
  </si>
  <si>
    <t>Jimdo無料／自宅サロン／完全予約制</t>
  </si>
  <si>
    <t>まほうのつえ</t>
  </si>
  <si>
    <t>https://mahou-no-tsue.com/</t>
  </si>
  <si>
    <t>ハンドセラピー／カードセラピー／情報散在</t>
  </si>
  <si>
    <t>Serenity Meadow</t>
  </si>
  <si>
    <t>https://serenitymeadow.net/</t>
  </si>
  <si>
    <t>傾聴・セラピー系／情報散在</t>
  </si>
  <si>
    <t>カモミール（エンジェルカード・タロット）</t>
  </si>
  <si>
    <t>http://chamomile6.jp/</t>
  </si>
  <si>
    <t>タロット／メンタルケア心理士／情報散在</t>
  </si>
  <si>
    <t>占いミザリー（豊橋）</t>
  </si>
  <si>
    <t>https://mizary.com/toyohashi/</t>
  </si>
  <si>
    <t>ミラ(mira)</t>
  </si>
  <si>
    <t>https://beauty.hotpepper.jp/kr/slnH000502267/</t>
  </si>
  <si>
    <t>ホットペッパーのみ／完全予約制</t>
  </si>
  <si>
    <t>アロマ リラクゼーション KOU</t>
  </si>
  <si>
    <t>https://www.relax-kou.com/</t>
  </si>
  <si>
    <t>女性専用／完全予約制／情報散在</t>
  </si>
  <si>
    <t>Hair make tuju</t>
  </si>
  <si>
    <t>https://otowa.or.jp/kaiin/tuju</t>
  </si>
  <si>
    <t>会員/紹介系ページ内／情報散在</t>
  </si>
  <si>
    <t>くれたけ心理相談室 知多エリア（新舞子ルーム）</t>
  </si>
  <si>
    <t>https://eri.counseling1.jp/chita/</t>
  </si>
  <si>
    <t>公認心理師（田中絵里）／対応：知多・東海・半田・常滑／無料送迎あり／電話受付9:00-21:00</t>
  </si>
  <si>
    <t>瀬戸市カウンセリング｜青空カウンセリングルーム</t>
  </si>
  <si>
    <t>https://ltc-councelling-room.jimdoweb.com/</t>
  </si>
  <si>
    <t>Jimdo無料テンプレ／前世療法・AC・夫婦カウンセリング等</t>
  </si>
  <si>
    <t>心に寄り添うカウンセリング ワンぽてぃと（サービス）</t>
  </si>
  <si>
    <t>https://wanpoteito.com/counseling-service/</t>
  </si>
  <si>
    <t>対面・オンライン／ペットロス・不登校・ひきこもり等／完全予約制／平日11-16・休日11-17・金休</t>
  </si>
  <si>
    <t>星のひかり カウンセリング・ヒーリングサロン</t>
  </si>
  <si>
    <t>https://hoshinohikari.sakura.ne.jp/</t>
  </si>
  <si>
    <t>ヒーリング＋占い（数秘/占星等）／完全予約制</t>
  </si>
  <si>
    <t>くれたけ心理相談室（共通/トップ）</t>
  </si>
  <si>
    <t>https://eri.counseling1.jp/</t>
  </si>
  <si>
    <t>上の知多エリアと同系列（重複注意）／複数エリア対応</t>
  </si>
  <si>
    <t>知多市のカフェカウンセリング</t>
  </si>
  <si>
    <t>counseling1.co.jp/aichi/chita/</t>
  </si>
  <si>
    <t>カフェ・訪問カウンセリング／情報散在（電話は同系統）</t>
  </si>
  <si>
    <t>リュミエール(umiere)</t>
  </si>
  <si>
    <t>https://beauty.hotpepper.jp/kr/slnH000442765/</t>
  </si>
  <si>
    <t>ホットペッパーのみ／筋膜リリース・骨格調整等</t>
  </si>
  <si>
    <t>半田市のカウンセリング（くれたけ心理相談室エリア）</t>
  </si>
  <si>
    <t>https://eri.counseling1.jp/hannda/</t>
  </si>
  <si>
    <t>エリア別ページ／人間関係・恋愛・発達障害対応など／情報散在</t>
  </si>
  <si>
    <t>瀬戸市のカフェ・訪問カウンセリング</t>
  </si>
  <si>
    <t>counseling1.co.jp/aichi/seto/</t>
  </si>
  <si>
    <t>カフェ・訪問カウンセリング／情報散在</t>
  </si>
  <si>
    <t>アカツキ ヘルス アンド ビューティー ラボ</t>
  </si>
  <si>
    <t>https://beauty.hotpepper.jp/kr/slnH000626436/</t>
  </si>
  <si>
    <t>ホットペッパーのみ／10:00-21:00／木曜不定休</t>
  </si>
  <si>
    <t>春日井市の心理カウンセリング</t>
  </si>
  <si>
    <t>https://yukari.counseling1.jp/access/kasugai/</t>
  </si>
  <si>
    <t>情報散在／レンタルスペース対応など</t>
  </si>
  <si>
    <t>犬山心理相談室（春日井市対応）</t>
  </si>
  <si>
    <t>http://www.ctk.ne.jp/~kaze/newpage50.html</t>
  </si>
  <si>
    <t>古めの個人サイト／対人関係専門／完全予約制</t>
  </si>
  <si>
    <t>ワンぽてぃと（ひきこもり支援カフェ）</t>
  </si>
  <si>
    <t>https://wanpoteito.com/</t>
  </si>
  <si>
    <t>上のサービスと同運営（重複注意）／社会復帰支援</t>
  </si>
  <si>
    <t>判定</t>
  </si>
  <si>
    <t>盛岡心理カウンセリングセンター</t>
  </si>
  <si>
    <t>https://moriokashinri.jp/</t>
  </si>
  <si>
    <t>個人・夫婦カウンセリング／オンライン対応／完全予約制／80分10,900円</t>
  </si>
  <si>
    <t>盛岡ハートフルカウンセリングセラフィ</t>
  </si>
  <si>
    <t>https://www.seraphyroom.com/greeting</t>
  </si>
  <si>
    <t>個人経営心理カウンセリング／丁寧な対話／秘密厳守／完全予約制</t>
  </si>
  <si>
    <t>心理臨床オフィスすがわら</t>
  </si>
  <si>
    <t>https://itp.ne.jp/zenkoku/iwate/moriokashi/saien/iryo-kaigo/herusukea/shinri-denkiryohonado/shinrikaunseringu/034573804136141270</t>
  </si>
  <si>
    <t>臨床心理士対応／専門的トレーニング／完全予約制</t>
  </si>
  <si>
    <t>ヒーリングサロンルル</t>
  </si>
  <si>
    <t>https://lulusalon.jp/online</t>
  </si>
  <si>
    <t>セラピスト歴20年／ヒーリング・オイルマッサージ／オンライン対応／完全予約制</t>
  </si>
  <si>
    <t>Healing House I'O</t>
  </si>
  <si>
    <t>https://www.pomit.jp/beauty/healing-house-io/</t>
  </si>
  <si>
    <t>心身の癒し／女性向け／ハワイ風空間／完全予約制</t>
  </si>
  <si>
    <t>ふわり香るcozyな日常</t>
  </si>
  <si>
    <t>https://www.facebook.com/fuwarikaoru.ns/</t>
  </si>
  <si>
    <t>出張ヒーリングアロマサロン／月2回イベント開催／出張対応</t>
  </si>
  <si>
    <t>占いエンジェル 新追分店</t>
  </si>
  <si>
    <t>https://rensa.jp.net/akita</t>
  </si>
  <si>
    <t>タロット・手相・姓名判断・霊視／完全予約制</t>
  </si>
  <si>
    <t>7COLORS＊ 占星術と天然石</t>
  </si>
  <si>
    <t>https://www.iid.co.jp/contents-fortune/akita/</t>
  </si>
  <si>
    <t>西洋占星術・天然石／自己分析重視／完全予約制</t>
  </si>
  <si>
    <t>占い館 プリンセスルーム</t>
  </si>
  <si>
    <t>https://www.mysta.co.jp/akita-fortuneteller/</t>
  </si>
  <si>
    <t>占い館形式／複数占い師在籍／完全予約制</t>
  </si>
  <si>
    <t>秋田占いサロン</t>
  </si>
  <si>
    <t>https://se-ec.co.jp/uranai-surveyteam/area/akita</t>
  </si>
  <si>
    <t>複数占い師在籍／料金体系明確／完全予約制</t>
  </si>
  <si>
    <t>山形県内カウンセリング・セラピー関連</t>
  </si>
  <si>
    <t>未取得</t>
  </si>
  <si>
    <t>Web構成充実施設あり／要個別探索</t>
  </si>
  <si>
    <t>木村藤子 幸せの条件</t>
  </si>
  <si>
    <t>https://kimura-fujiko.jp/</t>
  </si>
  <si>
    <t>霊視・透視／全国的知名度／青森の神様／完全予約制</t>
  </si>
  <si>
    <t>アトリエなのまっこ</t>
  </si>
  <si>
    <t>https://www.weeeeks.jp/shop/ateliernanomakko/</t>
  </si>
  <si>
    <t>霊視系占い／ハイヤーセルフ・守護霊メッセージ／完全予約制</t>
  </si>
  <si>
    <t>ユング心理学クリニック</t>
  </si>
  <si>
    <t>https://itp.ne.jp/info/020166372000000899/</t>
  </si>
  <si>
    <t>ユング心理学／心療内科／人生・人間関係相談／完全予約制</t>
  </si>
  <si>
    <t>弘前駅前メンタルクリニック</t>
  </si>
  <si>
    <t>https://www.hirosakiekimae-mentalclinic.com/</t>
  </si>
  <si>
    <t>気分障害・不安障害・睡眠障害対応／完全予約制</t>
  </si>
  <si>
    <t>あおもり若者サポートステーション こころの相談</t>
  </si>
  <si>
    <t>https://aosapo.ims-hirosaki.com/program/consultation/</t>
  </si>
  <si>
    <t>臨床心理士対応／若者支援／完全予約制</t>
  </si>
  <si>
    <t>CS60ヒーリングサロンRin</t>
  </si>
  <si>
    <t>https://cs60rin3690.com/</t>
  </si>
  <si>
    <t>CS60施術／月50人以上実績／心身ケア／完全予約制</t>
  </si>
  <si>
    <t>citta チッタ</t>
  </si>
  <si>
    <t>https://salon-citta.com/</t>
  </si>
  <si>
    <t>アロマ・バリ式マッサージ・ヒーリング／完全予約制</t>
  </si>
  <si>
    <t>脳内ヒーリング TM BRAIN HEALING（オーキッド）</t>
  </si>
  <si>
    <t>https://www.orchid-salon.com/healing.html</t>
  </si>
  <si>
    <t>脳内ヒーリング／ホリスティックセラピー／心身浄化</t>
  </si>
  <si>
    <t>ハワイアンロミロミ＆ホットストーン Ohana</t>
  </si>
  <si>
    <t>http://lomilomi-ohana.com/</t>
  </si>
  <si>
    <t>ハワイアンロミロミ／ホットストーン／個別対応／完全予約制”</t>
  </si>
  <si>
    <t>山形県</t>
  </si>
  <si>
    <t>山形市</t>
  </si>
  <si>
    <t>カウンセリング</t>
  </si>
  <si>
    <t>福島県</t>
  </si>
  <si>
    <t>福島市</t>
  </si>
  <si>
    <t>ヒーリング</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</si>
</sst>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4">
    <font>
      <sz val="11.0"/>
      <color theme="1"/>
      <name val="Calibri"/>
      <scheme val="minor"/>
    </font>
    <font>
      <color theme="1"/>
      <name val="Calibri"/>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0" xfId="0" applyFont="1"/>
    <xf borderId="0" fillId="0" fontId="3"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kimotostudio12.netlify.app/01119b" TargetMode="External"/><Relationship Id="rId190" Type="http://schemas.openxmlformats.org/officeDocument/2006/relationships/hyperlink" Target="https://angelique-beaute.jimdofree.com/" TargetMode="External"/><Relationship Id="rId42" Type="http://schemas.openxmlformats.org/officeDocument/2006/relationships/hyperlink" Target="https://kimotostudio12.netlify.app/01120b" TargetMode="External"/><Relationship Id="rId41" Type="http://schemas.openxmlformats.org/officeDocument/2006/relationships/hyperlink" Target="https://beauty.hotpepper.jp/kr/slnH000695557/" TargetMode="External"/><Relationship Id="rId44" Type="http://schemas.openxmlformats.org/officeDocument/2006/relationships/hyperlink" Target="https://kimotostudio12.netlify.app/01121b" TargetMode="External"/><Relationship Id="rId194" Type="http://schemas.openxmlformats.org/officeDocument/2006/relationships/hyperlink" Target="https://self-care-salon-carm.jimdofree.com/" TargetMode="External"/><Relationship Id="rId43" Type="http://schemas.openxmlformats.org/officeDocument/2006/relationships/hyperlink" Target="https://www.s-grid-fukuoka.com/blank-15" TargetMode="External"/><Relationship Id="rId193" Type="http://schemas.openxmlformats.org/officeDocument/2006/relationships/hyperlink" Target="https://kimotostudio12.netlify.app/01196b" TargetMode="External"/><Relationship Id="rId46" Type="http://schemas.openxmlformats.org/officeDocument/2006/relationships/hyperlink" Target="https://setsuritsu-senmon.com/fukuoka/15591" TargetMode="External"/><Relationship Id="rId192" Type="http://schemas.openxmlformats.org/officeDocument/2006/relationships/hyperlink" Target="https://daisy0507.jimdofree.com/" TargetMode="External"/><Relationship Id="rId45" Type="http://schemas.openxmlformats.org/officeDocument/2006/relationships/hyperlink" Target="https://kimotostudio12.netlify.app/01122b" TargetMode="External"/><Relationship Id="rId191" Type="http://schemas.openxmlformats.org/officeDocument/2006/relationships/hyperlink" Target="https://kimotostudio12.netlify.app/01195b" TargetMode="External"/><Relationship Id="rId48" Type="http://schemas.openxmlformats.org/officeDocument/2006/relationships/hyperlink" Target="https://heal-the-world.amebaownd.com/" TargetMode="External"/><Relationship Id="rId187" Type="http://schemas.openxmlformats.org/officeDocument/2006/relationships/hyperlink" Target="https://kimotostudio12.netlify.app/01193b" TargetMode="External"/><Relationship Id="rId47" Type="http://schemas.openxmlformats.org/officeDocument/2006/relationships/hyperlink" Target="https://kimotostudio12.netlify.app/01123b" TargetMode="External"/><Relationship Id="rId186" Type="http://schemas.openxmlformats.org/officeDocument/2006/relationships/hyperlink" Target="https://therapyroomyumi.wixsite.com/mysite" TargetMode="External"/><Relationship Id="rId185" Type="http://schemas.openxmlformats.org/officeDocument/2006/relationships/hyperlink" Target="https://kimotostudio12.netlify.app/01192b" TargetMode="External"/><Relationship Id="rId49" Type="http://schemas.openxmlformats.org/officeDocument/2006/relationships/hyperlink" Target="https://kimotostudio12.netlify.app/01124b" TargetMode="External"/><Relationship Id="rId184" Type="http://schemas.openxmlformats.org/officeDocument/2006/relationships/hyperlink" Target="https://ange01030403.wixsite.com/-site" TargetMode="External"/><Relationship Id="rId189" Type="http://schemas.openxmlformats.org/officeDocument/2006/relationships/hyperlink" Target="https://kimotostudio12.netlify.app/01194b" TargetMode="External"/><Relationship Id="rId188" Type="http://schemas.openxmlformats.org/officeDocument/2006/relationships/hyperlink" Target="https://conucopia.wixsite.com/conucopia" TargetMode="External"/><Relationship Id="rId31" Type="http://schemas.openxmlformats.org/officeDocument/2006/relationships/hyperlink" Target="https://www.privatesalon-chill.com/achievement/" TargetMode="External"/><Relationship Id="rId30" Type="http://schemas.openxmlformats.org/officeDocument/2006/relationships/hyperlink" Target="https://kimotostudio12.netlify.app/01114b" TargetMode="External"/><Relationship Id="rId33" Type="http://schemas.openxmlformats.org/officeDocument/2006/relationships/hyperlink" Target="https://hanabusa-music.com/blog/542/" TargetMode="External"/><Relationship Id="rId183" Type="http://schemas.openxmlformats.org/officeDocument/2006/relationships/hyperlink" Target="https://kimotostudio12.netlify.app/01191b" TargetMode="External"/><Relationship Id="rId32" Type="http://schemas.openxmlformats.org/officeDocument/2006/relationships/hyperlink" Target="https://kimotostudio12.netlify.app/01115b" TargetMode="External"/><Relationship Id="rId182" Type="http://schemas.openxmlformats.org/officeDocument/2006/relationships/hyperlink" Target="https://bijinden.wixsite.com/website" TargetMode="External"/><Relationship Id="rId35" Type="http://schemas.openxmlformats.org/officeDocument/2006/relationships/hyperlink" Target="https://www.rikaclinic.jp/" TargetMode="External"/><Relationship Id="rId181" Type="http://schemas.openxmlformats.org/officeDocument/2006/relationships/hyperlink" Target="https://kimotostudio12.netlify.app/01190b" TargetMode="External"/><Relationship Id="rId34" Type="http://schemas.openxmlformats.org/officeDocument/2006/relationships/hyperlink" Target="https://kimotostudio12.netlify.app/01116b" TargetMode="External"/><Relationship Id="rId180" Type="http://schemas.openxmlformats.org/officeDocument/2006/relationships/hyperlink" Target="https://r.goope.jp/vitalite" TargetMode="External"/><Relationship Id="rId37" Type="http://schemas.openxmlformats.org/officeDocument/2006/relationships/hyperlink" Target="https://www.ekiten.jp/shop_84471545/" TargetMode="External"/><Relationship Id="rId176" Type="http://schemas.openxmlformats.org/officeDocument/2006/relationships/hyperlink" Target="https://karin18.amebaownd.com/" TargetMode="External"/><Relationship Id="rId297" Type="http://schemas.openxmlformats.org/officeDocument/2006/relationships/hyperlink" Target="https://mikausagi.amebaownd.com/" TargetMode="External"/><Relationship Id="rId36" Type="http://schemas.openxmlformats.org/officeDocument/2006/relationships/hyperlink" Target="https://kimotostudio12.netlify.app/01117b" TargetMode="External"/><Relationship Id="rId175" Type="http://schemas.openxmlformats.org/officeDocument/2006/relationships/hyperlink" Target="https://kimotostudio12.netlify.app/01187b" TargetMode="External"/><Relationship Id="rId296" Type="http://schemas.openxmlformats.org/officeDocument/2006/relationships/hyperlink" Target="https://kimotostudio12.netlify.app/01248b" TargetMode="External"/><Relationship Id="rId39" Type="http://schemas.openxmlformats.org/officeDocument/2006/relationships/hyperlink" Target="https://seikotsuin-funi.net/" TargetMode="External"/><Relationship Id="rId174" Type="http://schemas.openxmlformats.org/officeDocument/2006/relationships/hyperlink" Target="https://rafu-20170216.amebaownd.com/" TargetMode="External"/><Relationship Id="rId295" Type="http://schemas.openxmlformats.org/officeDocument/2006/relationships/hyperlink" Target="https://kurururelax.jimdofree.com/" TargetMode="External"/><Relationship Id="rId38" Type="http://schemas.openxmlformats.org/officeDocument/2006/relationships/hyperlink" Target="https://kimotostudio12.netlify.app/01118b" TargetMode="External"/><Relationship Id="rId173" Type="http://schemas.openxmlformats.org/officeDocument/2006/relationships/hyperlink" Target="https://kimotostudio12.netlify.app/01186b" TargetMode="External"/><Relationship Id="rId294" Type="http://schemas.openxmlformats.org/officeDocument/2006/relationships/hyperlink" Target="https://kimotostudio12.netlify.app/01247b" TargetMode="External"/><Relationship Id="rId179" Type="http://schemas.openxmlformats.org/officeDocument/2006/relationships/hyperlink" Target="https://kimotostudio12.netlify.app/01189b" TargetMode="External"/><Relationship Id="rId178" Type="http://schemas.openxmlformats.org/officeDocument/2006/relationships/hyperlink" Target="https://r.goope.jp/salon-r101/" TargetMode="External"/><Relationship Id="rId299" Type="http://schemas.openxmlformats.org/officeDocument/2006/relationships/hyperlink" Target="https://yuka-kazokumap.hp.peraichi.com/" TargetMode="External"/><Relationship Id="rId177" Type="http://schemas.openxmlformats.org/officeDocument/2006/relationships/hyperlink" Target="https://kimotostudio12.netlify.app/01188b" TargetMode="External"/><Relationship Id="rId298" Type="http://schemas.openxmlformats.org/officeDocument/2006/relationships/hyperlink" Target="https://kimotostudio12.netlify.app/01249b" TargetMode="External"/><Relationship Id="rId20" Type="http://schemas.openxmlformats.org/officeDocument/2006/relationships/hyperlink" Target="https://kimotostudio12.netlify.app/01109b" TargetMode="External"/><Relationship Id="rId22" Type="http://schemas.openxmlformats.org/officeDocument/2006/relationships/hyperlink" Target="https://kimotostudio12.netlify.app/01110b" TargetMode="External"/><Relationship Id="rId21" Type="http://schemas.openxmlformats.org/officeDocument/2006/relationships/hyperlink" Target="https://yayoshi.jp/" TargetMode="External"/><Relationship Id="rId24" Type="http://schemas.openxmlformats.org/officeDocument/2006/relationships/hyperlink" Target="https://kimotostudio12.netlify.app/01111b" TargetMode="External"/><Relationship Id="rId23" Type="http://schemas.openxmlformats.org/officeDocument/2006/relationships/hyperlink" Target="https://coubic.com/smiletherapy" TargetMode="External"/><Relationship Id="rId26" Type="http://schemas.openxmlformats.org/officeDocument/2006/relationships/hyperlink" Target="https://kimotostudio12.netlify.app/01112b" TargetMode="External"/><Relationship Id="rId25" Type="http://schemas.openxmlformats.org/officeDocument/2006/relationships/hyperlink" Target="https://www.ameba.jp/profile/general/clary-clary/" TargetMode="External"/><Relationship Id="rId28" Type="http://schemas.openxmlformats.org/officeDocument/2006/relationships/hyperlink" Target="https://kimotostudio12.netlify.app/01113b" TargetMode="External"/><Relationship Id="rId27" Type="http://schemas.openxmlformats.org/officeDocument/2006/relationships/hyperlink" Target="https://jmty.jp/fukuoka/ser-cons/article-ay7s3?srsltid=AfmBOopn3q6YfRSB3HL610SoSFQ98eAHlAmpS7WKqVAhjBKBFW1mkba4" TargetMode="External"/><Relationship Id="rId29" Type="http://schemas.openxmlformats.org/officeDocument/2006/relationships/hyperlink" Target="https://fairy-sarah.amebaownd.com/" TargetMode="External"/><Relationship Id="rId11" Type="http://schemas.openxmlformats.org/officeDocument/2006/relationships/hyperlink" Target="http://www.websp01.com/jyujitu/" TargetMode="External"/><Relationship Id="rId10" Type="http://schemas.openxmlformats.org/officeDocument/2006/relationships/hyperlink" Target="https://kimotostudio12.netlify.app/01104b" TargetMode="External"/><Relationship Id="rId13" Type="http://schemas.openxmlformats.org/officeDocument/2006/relationships/hyperlink" Target="https://reserva.be/hakusuido/about" TargetMode="External"/><Relationship Id="rId12" Type="http://schemas.openxmlformats.org/officeDocument/2006/relationships/hyperlink" Target="https://kimotostudio12.netlify.app/01105b" TargetMode="External"/><Relationship Id="rId15" Type="http://schemas.openxmlformats.org/officeDocument/2006/relationships/hyperlink" Target="https://tt0330-kam.com/female" TargetMode="External"/><Relationship Id="rId198" Type="http://schemas.openxmlformats.org/officeDocument/2006/relationships/hyperlink" Target="https://de-im-ami.jimdofree.com/" TargetMode="External"/><Relationship Id="rId14" Type="http://schemas.openxmlformats.org/officeDocument/2006/relationships/hyperlink" Target="https://kimotostudio12.netlify.app/01106b" TargetMode="External"/><Relationship Id="rId197" Type="http://schemas.openxmlformats.org/officeDocument/2006/relationships/hyperlink" Target="https://kimotostudio12.netlify.app/01198b" TargetMode="External"/><Relationship Id="rId17" Type="http://schemas.openxmlformats.org/officeDocument/2006/relationships/hyperlink" Target="https://ashidamentalsalon.com/" TargetMode="External"/><Relationship Id="rId196" Type="http://schemas.openxmlformats.org/officeDocument/2006/relationships/hyperlink" Target="https://tica-nail.jimdofree.com/" TargetMode="External"/><Relationship Id="rId16" Type="http://schemas.openxmlformats.org/officeDocument/2006/relationships/hyperlink" Target="https://kimotostudio12.netlify.app/01107b" TargetMode="External"/><Relationship Id="rId195" Type="http://schemas.openxmlformats.org/officeDocument/2006/relationships/hyperlink" Target="https://kimotostudio12.netlify.app/01197b" TargetMode="External"/><Relationship Id="rId19" Type="http://schemas.openxmlformats.org/officeDocument/2006/relationships/hyperlink" Target="https://sae38.com/" TargetMode="External"/><Relationship Id="rId18" Type="http://schemas.openxmlformats.org/officeDocument/2006/relationships/hyperlink" Target="https://kimotostudio12.netlify.app/01108b" TargetMode="External"/><Relationship Id="rId199" Type="http://schemas.openxmlformats.org/officeDocument/2006/relationships/hyperlink" Target="https://kimotostudio12.netlify.app/01199b" TargetMode="External"/><Relationship Id="rId84" Type="http://schemas.openxmlformats.org/officeDocument/2006/relationships/hyperlink" Target="https://tomoshibi-room.jimdosite.com/" TargetMode="External"/><Relationship Id="rId83" Type="http://schemas.openxmlformats.org/officeDocument/2006/relationships/hyperlink" Target="https://kimotostudio12.netlify.app/01141b" TargetMode="External"/><Relationship Id="rId86" Type="http://schemas.openxmlformats.org/officeDocument/2006/relationships/hyperlink" Target="https://shinki-healing.com/" TargetMode="External"/><Relationship Id="rId85" Type="http://schemas.openxmlformats.org/officeDocument/2006/relationships/hyperlink" Target="https://kimotostudio12.netlify.app/01142b" TargetMode="External"/><Relationship Id="rId88" Type="http://schemas.openxmlformats.org/officeDocument/2006/relationships/hyperlink" Target="https://www.ainowaaroma.com/" TargetMode="External"/><Relationship Id="rId150" Type="http://schemas.openxmlformats.org/officeDocument/2006/relationships/hyperlink" Target="https://ms-sachi.jimdofree.com/" TargetMode="External"/><Relationship Id="rId271" Type="http://schemas.openxmlformats.org/officeDocument/2006/relationships/hyperlink" Target="https://kimotostudio12.netlify.app/01235b" TargetMode="External"/><Relationship Id="rId87" Type="http://schemas.openxmlformats.org/officeDocument/2006/relationships/hyperlink" Target="https://kimotostudio12.netlify.app/01143b" TargetMode="External"/><Relationship Id="rId270" Type="http://schemas.openxmlformats.org/officeDocument/2006/relationships/hyperlink" Target="https://ranianailkaori.wixsite.com/rania" TargetMode="External"/><Relationship Id="rId89" Type="http://schemas.openxmlformats.org/officeDocument/2006/relationships/hyperlink" Target="https://kimotostudio12.netlify.app/01144b" TargetMode="External"/><Relationship Id="rId80" Type="http://schemas.openxmlformats.org/officeDocument/2006/relationships/hyperlink" Target="https://www.bodycaresalon-822.com/" TargetMode="External"/><Relationship Id="rId82" Type="http://schemas.openxmlformats.org/officeDocument/2006/relationships/hyperlink" Target="https://clarayoga.net/yoga" TargetMode="External"/><Relationship Id="rId81" Type="http://schemas.openxmlformats.org/officeDocument/2006/relationships/hyperlink" Target="https://kimotostudio12.netlify.app/01140b" TargetMode="External"/><Relationship Id="rId1" Type="http://schemas.openxmlformats.org/officeDocument/2006/relationships/hyperlink" Target="http://herbear.jp/salon/" TargetMode="External"/><Relationship Id="rId2" Type="http://schemas.openxmlformats.org/officeDocument/2006/relationships/hyperlink" Target="https://kimotostudio12.netlify.app/01100b" TargetMode="External"/><Relationship Id="rId3" Type="http://schemas.openxmlformats.org/officeDocument/2006/relationships/hyperlink" Target="https://yamashitamiki.com/private-salon-menu/" TargetMode="External"/><Relationship Id="rId149" Type="http://schemas.openxmlformats.org/officeDocument/2006/relationships/hyperlink" Target="https://kimotostudio12.netlify.app/01174b" TargetMode="External"/><Relationship Id="rId4" Type="http://schemas.openxmlformats.org/officeDocument/2006/relationships/hyperlink" Target="https://kimotostudio12.netlify.app/01101b" TargetMode="External"/><Relationship Id="rId148" Type="http://schemas.openxmlformats.org/officeDocument/2006/relationships/hyperlink" Target="https://fukuokakenkokotsuhagashi.hp.peraichi.com/" TargetMode="External"/><Relationship Id="rId269" Type="http://schemas.openxmlformats.org/officeDocument/2006/relationships/hyperlink" Target="https://kimotostudio12.netlify.app/01234b" TargetMode="External"/><Relationship Id="rId9" Type="http://schemas.openxmlformats.org/officeDocument/2006/relationships/hyperlink" Target="https://mentalhealth-ryu.jp/blog" TargetMode="External"/><Relationship Id="rId143" Type="http://schemas.openxmlformats.org/officeDocument/2006/relationships/hyperlink" Target="https://kimotostudio12.netlify.app/01171b" TargetMode="External"/><Relationship Id="rId264" Type="http://schemas.openxmlformats.org/officeDocument/2006/relationships/hyperlink" Target="https://seitaizen.hp.peraichi.com/fukuoka/" TargetMode="External"/><Relationship Id="rId142" Type="http://schemas.openxmlformats.org/officeDocument/2006/relationships/hyperlink" Target="https://y443p9.wixsite.com/kilie/blank-1" TargetMode="External"/><Relationship Id="rId263" Type="http://schemas.openxmlformats.org/officeDocument/2006/relationships/hyperlink" Target="https://kimotostudio12.netlify.app/01231b" TargetMode="External"/><Relationship Id="rId141" Type="http://schemas.openxmlformats.org/officeDocument/2006/relationships/hyperlink" Target="https://kimotostudio12.netlify.app/01170b" TargetMode="External"/><Relationship Id="rId262" Type="http://schemas.openxmlformats.org/officeDocument/2006/relationships/hyperlink" Target="https://nyan2sky7.wixsite.com/salonshiori" TargetMode="External"/><Relationship Id="rId140" Type="http://schemas.openxmlformats.org/officeDocument/2006/relationships/hyperlink" Target="https://totalhealthcounselor.jimdofree.com/" TargetMode="External"/><Relationship Id="rId261" Type="http://schemas.openxmlformats.org/officeDocument/2006/relationships/hyperlink" Target="https://kimotostudio12.netlify.app/01230b" TargetMode="External"/><Relationship Id="rId5" Type="http://schemas.openxmlformats.org/officeDocument/2006/relationships/hyperlink" Target="https://beauty.hotpepper.jp/kr/slnH000670718/" TargetMode="External"/><Relationship Id="rId147" Type="http://schemas.openxmlformats.org/officeDocument/2006/relationships/hyperlink" Target="https://kimotostudio12.netlify.app/01173b" TargetMode="External"/><Relationship Id="rId268" Type="http://schemas.openxmlformats.org/officeDocument/2006/relationships/hyperlink" Target="https://rh0618n0108.wixsite.com/noi-naizo" TargetMode="External"/><Relationship Id="rId6" Type="http://schemas.openxmlformats.org/officeDocument/2006/relationships/hyperlink" Target="https://kimotostudio12.netlify.app/01102b" TargetMode="External"/><Relationship Id="rId146" Type="http://schemas.openxmlformats.org/officeDocument/2006/relationships/hyperlink" Target="https://nagomien.jp/" TargetMode="External"/><Relationship Id="rId267" Type="http://schemas.openxmlformats.org/officeDocument/2006/relationships/hyperlink" Target="https://kimotostudio12.netlify.app/01233b" TargetMode="External"/><Relationship Id="rId7" Type="http://schemas.openxmlformats.org/officeDocument/2006/relationships/hyperlink" Target="https://www.shiki-counseling.com/goaisastu" TargetMode="External"/><Relationship Id="rId145" Type="http://schemas.openxmlformats.org/officeDocument/2006/relationships/hyperlink" Target="https://kimotostudio12.netlify.app/01172b" TargetMode="External"/><Relationship Id="rId266" Type="http://schemas.openxmlformats.org/officeDocument/2006/relationships/hyperlink" Target="https://yuankoumiyu.wixsite.com/my-site" TargetMode="External"/><Relationship Id="rId8" Type="http://schemas.openxmlformats.org/officeDocument/2006/relationships/hyperlink" Target="https://kimotostudio12.netlify.app/01103b" TargetMode="External"/><Relationship Id="rId144" Type="http://schemas.openxmlformats.org/officeDocument/2006/relationships/hyperlink" Target="https://seitaiin-kei.com/" TargetMode="External"/><Relationship Id="rId265" Type="http://schemas.openxmlformats.org/officeDocument/2006/relationships/hyperlink" Target="https://kimotostudio12.netlify.app/01232b" TargetMode="External"/><Relationship Id="rId73" Type="http://schemas.openxmlformats.org/officeDocument/2006/relationships/hyperlink" Target="https://kimotostudio12.netlify.app/01136b" TargetMode="External"/><Relationship Id="rId72" Type="http://schemas.openxmlformats.org/officeDocument/2006/relationships/hyperlink" Target="https://kty33.crayonsite.net/" TargetMode="External"/><Relationship Id="rId75" Type="http://schemas.openxmlformats.org/officeDocument/2006/relationships/hyperlink" Target="https://kimotostudio12.netlify.app/01137b" TargetMode="External"/><Relationship Id="rId74" Type="http://schemas.openxmlformats.org/officeDocument/2006/relationships/hyperlink" Target="https://spiritual-master.biz/" TargetMode="External"/><Relationship Id="rId77" Type="http://schemas.openxmlformats.org/officeDocument/2006/relationships/hyperlink" Target="https://kimotostudio12.netlify.app/01138b" TargetMode="External"/><Relationship Id="rId260" Type="http://schemas.openxmlformats.org/officeDocument/2006/relationships/hyperlink" Target="https://petitpinnastudio.wixsite.com/petitpinnastudio" TargetMode="External"/><Relationship Id="rId76" Type="http://schemas.openxmlformats.org/officeDocument/2006/relationships/hyperlink" Target="https://www.dear-h.com/" TargetMode="External"/><Relationship Id="rId79" Type="http://schemas.openxmlformats.org/officeDocument/2006/relationships/hyperlink" Target="https://kimotostudio12.netlify.app/01139b" TargetMode="External"/><Relationship Id="rId78" Type="http://schemas.openxmlformats.org/officeDocument/2006/relationships/hyperlink" Target="https://aromatouch-tsunagu.crayonsite.info/" TargetMode="External"/><Relationship Id="rId71" Type="http://schemas.openxmlformats.org/officeDocument/2006/relationships/hyperlink" Target="https://kimotostudio12.netlify.app/01135b" TargetMode="External"/><Relationship Id="rId70" Type="http://schemas.openxmlformats.org/officeDocument/2006/relationships/hyperlink" Target="http://uranai-robanomimi.com/" TargetMode="External"/><Relationship Id="rId139" Type="http://schemas.openxmlformats.org/officeDocument/2006/relationships/hyperlink" Target="https://kimotostudio12.netlify.app/01169b" TargetMode="External"/><Relationship Id="rId138" Type="http://schemas.openxmlformats.org/officeDocument/2006/relationships/hyperlink" Target="https://kurata.hp.peraichi.com/hiza/" TargetMode="External"/><Relationship Id="rId259" Type="http://schemas.openxmlformats.org/officeDocument/2006/relationships/hyperlink" Target="https://kimotostudio12.netlify.app/01229b" TargetMode="External"/><Relationship Id="rId137" Type="http://schemas.openxmlformats.org/officeDocument/2006/relationships/hyperlink" Target="https://kimotostudio12.netlify.app/01168b" TargetMode="External"/><Relationship Id="rId258" Type="http://schemas.openxmlformats.org/officeDocument/2006/relationships/hyperlink" Target="https://ricom1109.wixsite.com/pilates" TargetMode="External"/><Relationship Id="rId132" Type="http://schemas.openxmlformats.org/officeDocument/2006/relationships/hyperlink" Target="https://ikimatuseitai.jimdofree.com/" TargetMode="External"/><Relationship Id="rId253" Type="http://schemas.openxmlformats.org/officeDocument/2006/relationships/hyperlink" Target="https://kimotostudio12.netlify.app/01226b" TargetMode="External"/><Relationship Id="rId131" Type="http://schemas.openxmlformats.org/officeDocument/2006/relationships/hyperlink" Target="https://kimotostudio12.netlify.app/01165b" TargetMode="External"/><Relationship Id="rId252" Type="http://schemas.openxmlformats.org/officeDocument/2006/relationships/hyperlink" Target="https://blessk77.wixsite.com/website-1" TargetMode="External"/><Relationship Id="rId130" Type="http://schemas.openxmlformats.org/officeDocument/2006/relationships/hyperlink" Target="https://service-dmc.wixsite.com/my-site-12432" TargetMode="External"/><Relationship Id="rId251" Type="http://schemas.openxmlformats.org/officeDocument/2006/relationships/hyperlink" Target="https://kimotostudio12.netlify.app/01225b" TargetMode="External"/><Relationship Id="rId250" Type="http://schemas.openxmlformats.org/officeDocument/2006/relationships/hyperlink" Target="https://niginowakka.jimdofree.com/" TargetMode="External"/><Relationship Id="rId136" Type="http://schemas.openxmlformats.org/officeDocument/2006/relationships/hyperlink" Target="https://toukimushi.hp.peraichi.com/" TargetMode="External"/><Relationship Id="rId257" Type="http://schemas.openxmlformats.org/officeDocument/2006/relationships/hyperlink" Target="https://kimotostudio12.netlify.app/01228b" TargetMode="External"/><Relationship Id="rId135" Type="http://schemas.openxmlformats.org/officeDocument/2006/relationships/hyperlink" Target="https://kimotostudio12.netlify.app/01167b" TargetMode="External"/><Relationship Id="rId256" Type="http://schemas.openxmlformats.org/officeDocument/2006/relationships/hyperlink" Target="https://na-ture.jimdofree.com/" TargetMode="External"/><Relationship Id="rId134" Type="http://schemas.openxmlformats.org/officeDocument/2006/relationships/hyperlink" Target="https://peraichi.com/landing_pages/view/pr380" TargetMode="External"/><Relationship Id="rId255" Type="http://schemas.openxmlformats.org/officeDocument/2006/relationships/hyperlink" Target="https://kimotostudio12.netlify.app/01227b" TargetMode="External"/><Relationship Id="rId133" Type="http://schemas.openxmlformats.org/officeDocument/2006/relationships/hyperlink" Target="https://kimotostudio12.netlify.app/01166b" TargetMode="External"/><Relationship Id="rId254" Type="http://schemas.openxmlformats.org/officeDocument/2006/relationships/hyperlink" Target="https://heartcare-tokieda.wixsite.com/tokieda/" TargetMode="External"/><Relationship Id="rId62" Type="http://schemas.openxmlformats.org/officeDocument/2006/relationships/hyperlink" Target="https://kokurapsychanalyse.jpn.org/" TargetMode="External"/><Relationship Id="rId61" Type="http://schemas.openxmlformats.org/officeDocument/2006/relationships/hyperlink" Target="https://kimotostudio12.netlify.app/01130b" TargetMode="External"/><Relationship Id="rId64" Type="http://schemas.openxmlformats.org/officeDocument/2006/relationships/hyperlink" Target="https://www.ekiten.jp/shop_40874162/" TargetMode="External"/><Relationship Id="rId63" Type="http://schemas.openxmlformats.org/officeDocument/2006/relationships/hyperlink" Target="https://kimotostudio12.netlify.app/01131b" TargetMode="External"/><Relationship Id="rId66" Type="http://schemas.openxmlformats.org/officeDocument/2006/relationships/hyperlink" Target="https://reserva.be/selfesteem/about" TargetMode="External"/><Relationship Id="rId172" Type="http://schemas.openxmlformats.org/officeDocument/2006/relationships/hyperlink" Target="https://salon-de-ribbon.amebaownd.com/" TargetMode="External"/><Relationship Id="rId293" Type="http://schemas.openxmlformats.org/officeDocument/2006/relationships/hyperlink" Target="https://pear-salon.jimdofree.com/" TargetMode="External"/><Relationship Id="rId65" Type="http://schemas.openxmlformats.org/officeDocument/2006/relationships/hyperlink" Target="https://kimotostudio12.netlify.app/01132b" TargetMode="External"/><Relationship Id="rId171" Type="http://schemas.openxmlformats.org/officeDocument/2006/relationships/hyperlink" Target="https://kimotostudio12.netlify.app/01185b" TargetMode="External"/><Relationship Id="rId292" Type="http://schemas.openxmlformats.org/officeDocument/2006/relationships/hyperlink" Target="https://kimotostudio12.netlify.app/01246b" TargetMode="External"/><Relationship Id="rId68" Type="http://schemas.openxmlformats.org/officeDocument/2006/relationships/hyperlink" Target="http://airinouranai.com/" TargetMode="External"/><Relationship Id="rId170" Type="http://schemas.openxmlformats.org/officeDocument/2006/relationships/hyperlink" Target="https://mimosa-healingneo16.amebaownd.com/" TargetMode="External"/><Relationship Id="rId291" Type="http://schemas.openxmlformats.org/officeDocument/2006/relationships/hyperlink" Target="https://o4rrh.crayonsite.info/" TargetMode="External"/><Relationship Id="rId67" Type="http://schemas.openxmlformats.org/officeDocument/2006/relationships/hyperlink" Target="https://kimotostudio12.netlify.app/01133b" TargetMode="External"/><Relationship Id="rId290" Type="http://schemas.openxmlformats.org/officeDocument/2006/relationships/hyperlink" Target="https://kimotostudio12.netlify.app/01245b" TargetMode="External"/><Relationship Id="rId60" Type="http://schemas.openxmlformats.org/officeDocument/2006/relationships/hyperlink" Target="https://salalablog.exblog.jp/" TargetMode="External"/><Relationship Id="rId165" Type="http://schemas.openxmlformats.org/officeDocument/2006/relationships/hyperlink" Target="https://kimotostudio12.netlify.app/01182b" TargetMode="External"/><Relationship Id="rId286" Type="http://schemas.openxmlformats.org/officeDocument/2006/relationships/hyperlink" Target="https://yanagawacity.wixsite.com/jiyuuanwashindou" TargetMode="External"/><Relationship Id="rId69" Type="http://schemas.openxmlformats.org/officeDocument/2006/relationships/hyperlink" Target="https://kimotostudio12.netlify.app/01134b" TargetMode="External"/><Relationship Id="rId164" Type="http://schemas.openxmlformats.org/officeDocument/2006/relationships/hyperlink" Target="https://himawari-bc-care.jimdofree.com/" TargetMode="External"/><Relationship Id="rId285" Type="http://schemas.openxmlformats.org/officeDocument/2006/relationships/hyperlink" Target="https://kimotostudio12.netlify.app/01242b" TargetMode="External"/><Relationship Id="rId163" Type="http://schemas.openxmlformats.org/officeDocument/2006/relationships/hyperlink" Target="https://kimotostudio12.netlify.app/01181b" TargetMode="External"/><Relationship Id="rId284" Type="http://schemas.openxmlformats.org/officeDocument/2006/relationships/hyperlink" Target="https://jannedaarc-0618.jimdofree.com/" TargetMode="External"/><Relationship Id="rId162" Type="http://schemas.openxmlformats.org/officeDocument/2006/relationships/hyperlink" Target="https://tomoe-takeshita.jimdofree.com/" TargetMode="External"/><Relationship Id="rId283" Type="http://schemas.openxmlformats.org/officeDocument/2006/relationships/hyperlink" Target="https://kimotostudio12.netlify.app/01241b" TargetMode="External"/><Relationship Id="rId169" Type="http://schemas.openxmlformats.org/officeDocument/2006/relationships/hyperlink" Target="https://kimotostudio12.netlify.app/01184b" TargetMode="External"/><Relationship Id="rId168" Type="http://schemas.openxmlformats.org/officeDocument/2006/relationships/hyperlink" Target="https://kokoroup.jimdofree.com/" TargetMode="External"/><Relationship Id="rId289" Type="http://schemas.openxmlformats.org/officeDocument/2006/relationships/hyperlink" Target="https://kimotostudio12.netlify.app/01244b" TargetMode="External"/><Relationship Id="rId167" Type="http://schemas.openxmlformats.org/officeDocument/2006/relationships/hyperlink" Target="https://kimotostudio12.netlify.app/01183b" TargetMode="External"/><Relationship Id="rId288" Type="http://schemas.openxmlformats.org/officeDocument/2006/relationships/hyperlink" Target="https://heisei-do.jimdofree.com/" TargetMode="External"/><Relationship Id="rId166" Type="http://schemas.openxmlformats.org/officeDocument/2006/relationships/hyperlink" Target="https://miho-maeda.jimdofree.com/" TargetMode="External"/><Relationship Id="rId287" Type="http://schemas.openxmlformats.org/officeDocument/2006/relationships/hyperlink" Target="https://kimotostudio12.netlify.app/01243b" TargetMode="External"/><Relationship Id="rId51" Type="http://schemas.openxmlformats.org/officeDocument/2006/relationships/hyperlink" Target="https://kimotostudio12.netlify.app/01125b" TargetMode="External"/><Relationship Id="rId50" Type="http://schemas.openxmlformats.org/officeDocument/2006/relationships/hyperlink" Target="https://beauty.hotpepper.jp/kr/slnH000723685/" TargetMode="External"/><Relationship Id="rId53" Type="http://schemas.openxmlformats.org/officeDocument/2006/relationships/hyperlink" Target="https://kimotostudio12.netlify.app/01126b" TargetMode="External"/><Relationship Id="rId52" Type="http://schemas.openxmlformats.org/officeDocument/2006/relationships/hyperlink" Target="https://mise-repo.com/12415/" TargetMode="External"/><Relationship Id="rId55" Type="http://schemas.openxmlformats.org/officeDocument/2006/relationships/hyperlink" Target="https://kimotostudio12.netlify.app/01127b" TargetMode="External"/><Relationship Id="rId161" Type="http://schemas.openxmlformats.org/officeDocument/2006/relationships/hyperlink" Target="https://kimotostudio12.netlify.app/01180b" TargetMode="External"/><Relationship Id="rId282" Type="http://schemas.openxmlformats.org/officeDocument/2006/relationships/hyperlink" Target="https://aikala.hp.peraichi.com/" TargetMode="External"/><Relationship Id="rId54" Type="http://schemas.openxmlformats.org/officeDocument/2006/relationships/hyperlink" Target="https://artemisia1001.amebaownd.com/" TargetMode="External"/><Relationship Id="rId160" Type="http://schemas.openxmlformats.org/officeDocument/2006/relationships/hyperlink" Target="https://hidamarinoki-yokko.jimdofree.com/" TargetMode="External"/><Relationship Id="rId281" Type="http://schemas.openxmlformats.org/officeDocument/2006/relationships/hyperlink" Target="https://kimotostudio12.netlify.app/01240b" TargetMode="External"/><Relationship Id="rId57" Type="http://schemas.openxmlformats.org/officeDocument/2006/relationships/hyperlink" Target="https://kimotostudio12.netlify.app/01128b" TargetMode="External"/><Relationship Id="rId280" Type="http://schemas.openxmlformats.org/officeDocument/2006/relationships/hyperlink" Target="https://bodybrace2018.wixsite.com/bodybrace" TargetMode="External"/><Relationship Id="rId56" Type="http://schemas.openxmlformats.org/officeDocument/2006/relationships/hyperlink" Target="https://salonbless.com/" TargetMode="External"/><Relationship Id="rId159" Type="http://schemas.openxmlformats.org/officeDocument/2006/relationships/hyperlink" Target="https://kimotostudio12.netlify.app/01179b" TargetMode="External"/><Relationship Id="rId59" Type="http://schemas.openxmlformats.org/officeDocument/2006/relationships/hyperlink" Target="https://kimotostudio12.netlify.app/01129b" TargetMode="External"/><Relationship Id="rId154" Type="http://schemas.openxmlformats.org/officeDocument/2006/relationships/hyperlink" Target="https://zion627.amebaownd.com/" TargetMode="External"/><Relationship Id="rId275" Type="http://schemas.openxmlformats.org/officeDocument/2006/relationships/hyperlink" Target="https://kimotostudio12.netlify.app/01237b" TargetMode="External"/><Relationship Id="rId58" Type="http://schemas.openxmlformats.org/officeDocument/2006/relationships/hyperlink" Target="https://hakatacaf1408.webnode.jp/" TargetMode="External"/><Relationship Id="rId153" Type="http://schemas.openxmlformats.org/officeDocument/2006/relationships/hyperlink" Target="https://kimotostudio12.netlify.app/01176b" TargetMode="External"/><Relationship Id="rId274" Type="http://schemas.openxmlformats.org/officeDocument/2006/relationships/hyperlink" Target="https://ninfeashinri20.jimdofree.com/" TargetMode="External"/><Relationship Id="rId152" Type="http://schemas.openxmlformats.org/officeDocument/2006/relationships/hyperlink" Target="https://kekoulife.jimdofree.com/" TargetMode="External"/><Relationship Id="rId273" Type="http://schemas.openxmlformats.org/officeDocument/2006/relationships/hyperlink" Target="https://kimotostudio12.netlify.app/01236b" TargetMode="External"/><Relationship Id="rId151" Type="http://schemas.openxmlformats.org/officeDocument/2006/relationships/hyperlink" Target="https://kimotostudio12.netlify.app/01175b" TargetMode="External"/><Relationship Id="rId272" Type="http://schemas.openxmlformats.org/officeDocument/2006/relationships/hyperlink" Target="https://reethi-k.jimdofree.com/" TargetMode="External"/><Relationship Id="rId158" Type="http://schemas.openxmlformats.org/officeDocument/2006/relationships/hyperlink" Target="https://seitaisakura102.jimdofree.com/" TargetMode="External"/><Relationship Id="rId279" Type="http://schemas.openxmlformats.org/officeDocument/2006/relationships/hyperlink" Target="https://kimotostudio12.netlify.app/01239b" TargetMode="External"/><Relationship Id="rId157" Type="http://schemas.openxmlformats.org/officeDocument/2006/relationships/hyperlink" Target="https://kimotostudio12.netlify.app/01178b" TargetMode="External"/><Relationship Id="rId278" Type="http://schemas.openxmlformats.org/officeDocument/2006/relationships/hyperlink" Target="https://mullaway-seitai.hp.peraichi.com/" TargetMode="External"/><Relationship Id="rId156" Type="http://schemas.openxmlformats.org/officeDocument/2006/relationships/hyperlink" Target="https://hiroko31vivian.wixsite.com/dogyoga/boarding__daycare" TargetMode="External"/><Relationship Id="rId277" Type="http://schemas.openxmlformats.org/officeDocument/2006/relationships/hyperlink" Target="https://kimotostudio12.netlify.app/01238b" TargetMode="External"/><Relationship Id="rId155" Type="http://schemas.openxmlformats.org/officeDocument/2006/relationships/hyperlink" Target="https://kimotostudio12.netlify.app/01177b" TargetMode="External"/><Relationship Id="rId276" Type="http://schemas.openxmlformats.org/officeDocument/2006/relationships/hyperlink" Target="https://hanafuru-2026.jimdofree.com/" TargetMode="External"/><Relationship Id="rId107" Type="http://schemas.openxmlformats.org/officeDocument/2006/relationships/hyperlink" Target="https://kimotostudio12.netlify.app/01153b" TargetMode="External"/><Relationship Id="rId228" Type="http://schemas.openxmlformats.org/officeDocument/2006/relationships/hyperlink" Target="https://kaorinococcole.jimdofree.com/" TargetMode="External"/><Relationship Id="rId106" Type="http://schemas.openxmlformats.org/officeDocument/2006/relationships/hyperlink" Target="https://www.cocorise.com/about/" TargetMode="External"/><Relationship Id="rId227" Type="http://schemas.openxmlformats.org/officeDocument/2006/relationships/hyperlink" Target="https://kimotostudio12.netlify.app/01213b" TargetMode="External"/><Relationship Id="rId105" Type="http://schemas.openxmlformats.org/officeDocument/2006/relationships/hyperlink" Target="https://kimotostudio12.netlify.app/01152b" TargetMode="External"/><Relationship Id="rId226" Type="http://schemas.openxmlformats.org/officeDocument/2006/relationships/hyperlink" Target="https://kavachan.jimdofree.com/" TargetMode="External"/><Relationship Id="rId104" Type="http://schemas.openxmlformats.org/officeDocument/2006/relationships/hyperlink" Target="https://beauty.hotpepper.jp/kr/slnH000752909/" TargetMode="External"/><Relationship Id="rId225" Type="http://schemas.openxmlformats.org/officeDocument/2006/relationships/hyperlink" Target="https://kimotostudio12.netlify.app/01212b" TargetMode="External"/><Relationship Id="rId109" Type="http://schemas.openxmlformats.org/officeDocument/2006/relationships/hyperlink" Target="https://kimotostudio12.netlify.app/01154b" TargetMode="External"/><Relationship Id="rId108" Type="http://schemas.openxmlformats.org/officeDocument/2006/relationships/hyperlink" Target="https://www.tially.jp/fukuoka/" TargetMode="External"/><Relationship Id="rId229" Type="http://schemas.openxmlformats.org/officeDocument/2006/relationships/hyperlink" Target="https://kimotostudio12.netlify.app/01214b" TargetMode="External"/><Relationship Id="rId220" Type="http://schemas.openxmlformats.org/officeDocument/2006/relationships/hyperlink" Target="https://aromalymphcaretinkerbell.amebaownd.com/" TargetMode="External"/><Relationship Id="rId103" Type="http://schemas.openxmlformats.org/officeDocument/2006/relationships/hyperlink" Target="https://kimotostudio12.netlify.app/01151b" TargetMode="External"/><Relationship Id="rId224" Type="http://schemas.openxmlformats.org/officeDocument/2006/relationships/hyperlink" Target="https://mi2xd.hp.peraichi.com/" TargetMode="External"/><Relationship Id="rId102" Type="http://schemas.openxmlformats.org/officeDocument/2006/relationships/hyperlink" Target="https://itosuki.jimdofree.com/" TargetMode="External"/><Relationship Id="rId223" Type="http://schemas.openxmlformats.org/officeDocument/2006/relationships/hyperlink" Target="https://kimotostudio12.netlify.app/01211b" TargetMode="External"/><Relationship Id="rId101" Type="http://schemas.openxmlformats.org/officeDocument/2006/relationships/hyperlink" Target="https://kimotostudio12.netlify.app/01150b" TargetMode="External"/><Relationship Id="rId222" Type="http://schemas.openxmlformats.org/officeDocument/2006/relationships/hyperlink" Target="http://lotuswellness.strikingly.com/" TargetMode="External"/><Relationship Id="rId100" Type="http://schemas.openxmlformats.org/officeDocument/2006/relationships/hyperlink" Target="https://irayoi.com/voice" TargetMode="External"/><Relationship Id="rId221" Type="http://schemas.openxmlformats.org/officeDocument/2006/relationships/hyperlink" Target="https://kimotostudio12.netlify.app/01210b" TargetMode="External"/><Relationship Id="rId217" Type="http://schemas.openxmlformats.org/officeDocument/2006/relationships/hyperlink" Target="https://kimotostudio12.netlify.app/01208b" TargetMode="External"/><Relationship Id="rId216" Type="http://schemas.openxmlformats.org/officeDocument/2006/relationships/hyperlink" Target="https://angel-hand.crayonsite.info/" TargetMode="External"/><Relationship Id="rId215" Type="http://schemas.openxmlformats.org/officeDocument/2006/relationships/hyperlink" Target="https://kimotostudio12.netlify.app/01207b" TargetMode="External"/><Relationship Id="rId214" Type="http://schemas.openxmlformats.org/officeDocument/2006/relationships/hyperlink" Target="https://r.goope.jp/rux/" TargetMode="External"/><Relationship Id="rId219" Type="http://schemas.openxmlformats.org/officeDocument/2006/relationships/hyperlink" Target="https://kimotostudio12.netlify.app/01209b" TargetMode="External"/><Relationship Id="rId218" Type="http://schemas.openxmlformats.org/officeDocument/2006/relationships/hyperlink" Target="https://brilliant-kyo.amebaownd.com/" TargetMode="External"/><Relationship Id="rId213" Type="http://schemas.openxmlformats.org/officeDocument/2006/relationships/hyperlink" Target="https://kimotostudio12.netlify.app/01206b" TargetMode="External"/><Relationship Id="rId212" Type="http://schemas.openxmlformats.org/officeDocument/2006/relationships/hyperlink" Target="https://katuki3.jimdofree.com/" TargetMode="External"/><Relationship Id="rId211" Type="http://schemas.openxmlformats.org/officeDocument/2006/relationships/hyperlink" Target="https://kimotostudio12.netlify.app/01205b" TargetMode="External"/><Relationship Id="rId210" Type="http://schemas.openxmlformats.org/officeDocument/2006/relationships/hyperlink" Target="https://grace-everafter.jimdofree.com/" TargetMode="External"/><Relationship Id="rId129" Type="http://schemas.openxmlformats.org/officeDocument/2006/relationships/hyperlink" Target="https://kimotostudio12.netlify.app/01164b" TargetMode="External"/><Relationship Id="rId128" Type="http://schemas.openxmlformats.org/officeDocument/2006/relationships/hyperlink" Target="https://zen.hp.peraichi.com/dietfukuoka/" TargetMode="External"/><Relationship Id="rId249" Type="http://schemas.openxmlformats.org/officeDocument/2006/relationships/hyperlink" Target="https://kimotostudio12.netlify.app/01224b" TargetMode="External"/><Relationship Id="rId127" Type="http://schemas.openxmlformats.org/officeDocument/2006/relationships/hyperlink" Target="https://kimotostudio12.netlify.app/01163b" TargetMode="External"/><Relationship Id="rId248" Type="http://schemas.openxmlformats.org/officeDocument/2006/relationships/hyperlink" Target="https://madorominojikan.jimdofree.com/" TargetMode="External"/><Relationship Id="rId126" Type="http://schemas.openxmlformats.org/officeDocument/2006/relationships/hyperlink" Target="https://mokuyoga.jimdofree.com/" TargetMode="External"/><Relationship Id="rId247" Type="http://schemas.openxmlformats.org/officeDocument/2006/relationships/hyperlink" Target="https://kimotostudio12.netlify.app/01223b" TargetMode="External"/><Relationship Id="rId121" Type="http://schemas.openxmlformats.org/officeDocument/2006/relationships/hyperlink" Target="https://kimotostudio12.netlify.app/01160b" TargetMode="External"/><Relationship Id="rId242" Type="http://schemas.openxmlformats.org/officeDocument/2006/relationships/hyperlink" Target="https://4-life.wixsite.com/website" TargetMode="External"/><Relationship Id="rId120" Type="http://schemas.openxmlformats.org/officeDocument/2006/relationships/hyperlink" Target="https://kokoro-kobeya.jimdofree.com/" TargetMode="External"/><Relationship Id="rId241" Type="http://schemas.openxmlformats.org/officeDocument/2006/relationships/hyperlink" Target="https://kimotostudio12.netlify.app/01220b" TargetMode="External"/><Relationship Id="rId240" Type="http://schemas.openxmlformats.org/officeDocument/2006/relationships/hyperlink" Target="https://sarasouju.wixsite.com/salon" TargetMode="External"/><Relationship Id="rId125" Type="http://schemas.openxmlformats.org/officeDocument/2006/relationships/hyperlink" Target="https://kimotostudio12.netlify.app/01162b" TargetMode="External"/><Relationship Id="rId246" Type="http://schemas.openxmlformats.org/officeDocument/2006/relationships/hyperlink" Target="https://www.tinglingcounseling.com/" TargetMode="External"/><Relationship Id="rId124" Type="http://schemas.openxmlformats.org/officeDocument/2006/relationships/hyperlink" Target="https://gobodyfukuoka.wixsite.com/website" TargetMode="External"/><Relationship Id="rId245" Type="http://schemas.openxmlformats.org/officeDocument/2006/relationships/hyperlink" Target="https://kimotostudio12.netlify.app/01222b" TargetMode="External"/><Relationship Id="rId123" Type="http://schemas.openxmlformats.org/officeDocument/2006/relationships/hyperlink" Target="https://kimotostudio12.netlify.app/01161b" TargetMode="External"/><Relationship Id="rId244" Type="http://schemas.openxmlformats.org/officeDocument/2006/relationships/hyperlink" Target="https://cuore.hp.peraichi.com/" TargetMode="External"/><Relationship Id="rId122" Type="http://schemas.openxmlformats.org/officeDocument/2006/relationships/hyperlink" Target="https://nljun.jimdofree.com/" TargetMode="External"/><Relationship Id="rId243" Type="http://schemas.openxmlformats.org/officeDocument/2006/relationships/hyperlink" Target="https://kimotostudio12.netlify.app/01221b" TargetMode="External"/><Relationship Id="rId95" Type="http://schemas.openxmlformats.org/officeDocument/2006/relationships/hyperlink" Target="https://kimotostudio12.netlify.app/01147b" TargetMode="External"/><Relationship Id="rId94" Type="http://schemas.openxmlformats.org/officeDocument/2006/relationships/hyperlink" Target="https://my-best.com/18277" TargetMode="External"/><Relationship Id="rId97" Type="http://schemas.openxmlformats.org/officeDocument/2006/relationships/hyperlink" Target="https://kimotostudio12.netlify.app/01148b" TargetMode="External"/><Relationship Id="rId96" Type="http://schemas.openxmlformats.org/officeDocument/2006/relationships/hyperlink" Target="https://www.yu-mentalclinic.com/" TargetMode="External"/><Relationship Id="rId99" Type="http://schemas.openxmlformats.org/officeDocument/2006/relationships/hyperlink" Target="https://kimotostudio12.netlify.app/01149b" TargetMode="External"/><Relationship Id="rId98" Type="http://schemas.openxmlformats.org/officeDocument/2006/relationships/hyperlink" Target="https://www.minamoitoshima.com/counseling" TargetMode="External"/><Relationship Id="rId91" Type="http://schemas.openxmlformats.org/officeDocument/2006/relationships/hyperlink" Target="https://kimotostudio12.netlify.app/01145b" TargetMode="External"/><Relationship Id="rId90" Type="http://schemas.openxmlformats.org/officeDocument/2006/relationships/hyperlink" Target="https://www.sophia-omuta.com/" TargetMode="External"/><Relationship Id="rId93" Type="http://schemas.openxmlformats.org/officeDocument/2006/relationships/hyperlink" Target="https://kimotostudio12.netlify.app/01146b" TargetMode="External"/><Relationship Id="rId92" Type="http://schemas.openxmlformats.org/officeDocument/2006/relationships/hyperlink" Target="https://beauty.hotpepper.jp/kr/slnH000558273/" TargetMode="External"/><Relationship Id="rId118" Type="http://schemas.openxmlformats.org/officeDocument/2006/relationships/hyperlink" Target="https://heartcare-tokieda.wixsite.com/tokieda" TargetMode="External"/><Relationship Id="rId239" Type="http://schemas.openxmlformats.org/officeDocument/2006/relationships/hyperlink" Target="https://kimotostudio12.netlify.app/01219b" TargetMode="External"/><Relationship Id="rId117" Type="http://schemas.openxmlformats.org/officeDocument/2006/relationships/hyperlink" Target="https://kimotostudio12.netlify.app/01158b" TargetMode="External"/><Relationship Id="rId238" Type="http://schemas.openxmlformats.org/officeDocument/2006/relationships/hyperlink" Target="https://cocoa20200424.wixsite.com/cocoa" TargetMode="External"/><Relationship Id="rId116" Type="http://schemas.openxmlformats.org/officeDocument/2006/relationships/hyperlink" Target="https://umy1723.wixsite.com/tennjin-nico" TargetMode="External"/><Relationship Id="rId237" Type="http://schemas.openxmlformats.org/officeDocument/2006/relationships/hyperlink" Target="https://kimotostudio12.netlify.app/01218b" TargetMode="External"/><Relationship Id="rId115" Type="http://schemas.openxmlformats.org/officeDocument/2006/relationships/hyperlink" Target="https://kimotostudio12.netlify.app/01157b" TargetMode="External"/><Relationship Id="rId236" Type="http://schemas.openxmlformats.org/officeDocument/2006/relationships/hyperlink" Target="https://kokura-hikari.jimdofree.com/" TargetMode="External"/><Relationship Id="rId119" Type="http://schemas.openxmlformats.org/officeDocument/2006/relationships/hyperlink" Target="https://kimotostudio12.netlify.app/01159b" TargetMode="External"/><Relationship Id="rId110" Type="http://schemas.openxmlformats.org/officeDocument/2006/relationships/hyperlink" Target="https://cocoro-pt.com/" TargetMode="External"/><Relationship Id="rId231" Type="http://schemas.openxmlformats.org/officeDocument/2006/relationships/hyperlink" Target="https://kimotostudio12.netlify.app/01215b" TargetMode="External"/><Relationship Id="rId230" Type="http://schemas.openxmlformats.org/officeDocument/2006/relationships/hyperlink" Target="https://v3-rarara.jimdofree.com/" TargetMode="External"/><Relationship Id="rId114" Type="http://schemas.openxmlformats.org/officeDocument/2006/relationships/hyperlink" Target="https://ropponmatsucounsel.wixsite.com/fukuoka" TargetMode="External"/><Relationship Id="rId235" Type="http://schemas.openxmlformats.org/officeDocument/2006/relationships/hyperlink" Target="https://kimotostudio12.netlify.app/01217b" TargetMode="External"/><Relationship Id="rId113" Type="http://schemas.openxmlformats.org/officeDocument/2006/relationships/hyperlink" Target="https://kimotostudio12.netlify.app/01156b" TargetMode="External"/><Relationship Id="rId234" Type="http://schemas.openxmlformats.org/officeDocument/2006/relationships/hyperlink" Target="https://bluedaisy202102.amebaownd.com/" TargetMode="External"/><Relationship Id="rId112" Type="http://schemas.openxmlformats.org/officeDocument/2006/relationships/hyperlink" Target="https://spiritum-minako.wixsite.com/spiritum" TargetMode="External"/><Relationship Id="rId233" Type="http://schemas.openxmlformats.org/officeDocument/2006/relationships/hyperlink" Target="https://kimotostudio12.netlify.app/01216b" TargetMode="External"/><Relationship Id="rId111" Type="http://schemas.openxmlformats.org/officeDocument/2006/relationships/hyperlink" Target="https://kimotostudio12.netlify.app/01155b" TargetMode="External"/><Relationship Id="rId232" Type="http://schemas.openxmlformats.org/officeDocument/2006/relationships/hyperlink" Target="https://rianna39.amebaownd.com/" TargetMode="External"/><Relationship Id="rId305" Type="http://schemas.openxmlformats.org/officeDocument/2006/relationships/hyperlink" Target="https://butterfly-coaching.hp.peraichi.com/" TargetMode="External"/><Relationship Id="rId304" Type="http://schemas.openxmlformats.org/officeDocument/2006/relationships/hyperlink" Target="https://kimotostudio12.netlify.app/01252b" TargetMode="External"/><Relationship Id="rId303" Type="http://schemas.openxmlformats.org/officeDocument/2006/relationships/hyperlink" Target="https://mizoro-k55.jimdofree.com/" TargetMode="External"/><Relationship Id="rId302" Type="http://schemas.openxmlformats.org/officeDocument/2006/relationships/hyperlink" Target="https://kimotostudio12.netlify.app/01251b" TargetMode="External"/><Relationship Id="rId309" Type="http://schemas.openxmlformats.org/officeDocument/2006/relationships/hyperlink" Target="https://y-nlp-partner.hp.peraichi.com/" TargetMode="External"/><Relationship Id="rId308" Type="http://schemas.openxmlformats.org/officeDocument/2006/relationships/hyperlink" Target="https://kimotostudio12.netlify.app/01254b" TargetMode="External"/><Relationship Id="rId307" Type="http://schemas.openxmlformats.org/officeDocument/2006/relationships/hyperlink" Target="https://awh-sensai.hp.peraichi.com/" TargetMode="External"/><Relationship Id="rId306" Type="http://schemas.openxmlformats.org/officeDocument/2006/relationships/hyperlink" Target="https://kimotostudio12.netlify.app/01253b" TargetMode="External"/><Relationship Id="rId301" Type="http://schemas.openxmlformats.org/officeDocument/2006/relationships/hyperlink" Target="https://yogaeka.jimdofree.com/" TargetMode="External"/><Relationship Id="rId300" Type="http://schemas.openxmlformats.org/officeDocument/2006/relationships/hyperlink" Target="https://kimotostudio12.netlify.app/01250b" TargetMode="External"/><Relationship Id="rId206" Type="http://schemas.openxmlformats.org/officeDocument/2006/relationships/hyperlink" Target="https://peraichi.com/landing_pages/view/marikabodycaresalon/" TargetMode="External"/><Relationship Id="rId205" Type="http://schemas.openxmlformats.org/officeDocument/2006/relationships/hyperlink" Target="https://kimotostudio12.netlify.app/01202b" TargetMode="External"/><Relationship Id="rId204" Type="http://schemas.openxmlformats.org/officeDocument/2006/relationships/hyperlink" Target="https://onnist.wixsite.com/nikogao" TargetMode="External"/><Relationship Id="rId203" Type="http://schemas.openxmlformats.org/officeDocument/2006/relationships/hyperlink" Target="https://kimotostudio12.netlify.app/01201b" TargetMode="External"/><Relationship Id="rId209" Type="http://schemas.openxmlformats.org/officeDocument/2006/relationships/hyperlink" Target="https://kimotostudio12.netlify.app/01204b" TargetMode="External"/><Relationship Id="rId208" Type="http://schemas.openxmlformats.org/officeDocument/2006/relationships/hyperlink" Target="https://uruwashi2020.wixsite.com/salon/" TargetMode="External"/><Relationship Id="rId207" Type="http://schemas.openxmlformats.org/officeDocument/2006/relationships/hyperlink" Target="https://kimotostudio12.netlify.app/01203b" TargetMode="External"/><Relationship Id="rId202" Type="http://schemas.openxmlformats.org/officeDocument/2006/relationships/hyperlink" Target="https://komeco-kanon.hp.peraichi.com/" TargetMode="External"/><Relationship Id="rId201" Type="http://schemas.openxmlformats.org/officeDocument/2006/relationships/hyperlink" Target="https://kimotostudio12.netlify.app/01200b" TargetMode="External"/><Relationship Id="rId200" Type="http://schemas.openxmlformats.org/officeDocument/2006/relationships/hyperlink" Target="https://hb2arredge.hp.peraichi.com/" TargetMode="External"/><Relationship Id="rId313" Type="http://schemas.openxmlformats.org/officeDocument/2006/relationships/drawing" Target="../drawings/drawing1.xml"/><Relationship Id="rId312" Type="http://schemas.openxmlformats.org/officeDocument/2006/relationships/hyperlink" Target="https://kimotostudio12.netlify.app/01256b" TargetMode="External"/><Relationship Id="rId311" Type="http://schemas.openxmlformats.org/officeDocument/2006/relationships/hyperlink" Target="https://hananari.jimdofree.com/" TargetMode="External"/><Relationship Id="rId310" Type="http://schemas.openxmlformats.org/officeDocument/2006/relationships/hyperlink" Target="https://kimotostudio12.netlify.app/01255b"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kimotostudio12.netlify.app/01279b" TargetMode="External"/><Relationship Id="rId42" Type="http://schemas.openxmlformats.org/officeDocument/2006/relationships/hyperlink" Target="https://kimotostudio12.netlify.app/01280b" TargetMode="External"/><Relationship Id="rId41" Type="http://schemas.openxmlformats.org/officeDocument/2006/relationships/hyperlink" Target="https://asopu.crayonsite.info/" TargetMode="External"/><Relationship Id="rId44" Type="http://schemas.openxmlformats.org/officeDocument/2006/relationships/hyperlink" Target="https://kimotostudio12.netlify.app/01281b" TargetMode="External"/><Relationship Id="rId43" Type="http://schemas.openxmlformats.org/officeDocument/2006/relationships/hyperlink" Target="https://salonleem.wixsite.com/netorabasuthi/blank-1" TargetMode="External"/><Relationship Id="rId46" Type="http://schemas.openxmlformats.org/officeDocument/2006/relationships/hyperlink" Target="https://kimotostudio12.netlify.app/01282b" TargetMode="External"/><Relationship Id="rId45" Type="http://schemas.openxmlformats.org/officeDocument/2006/relationships/hyperlink" Target="https://ms-fuwari.amebaownd.com/" TargetMode="External"/><Relationship Id="rId48" Type="http://schemas.openxmlformats.org/officeDocument/2006/relationships/hyperlink" Target="https://kimotostudio12.netlify.app/01283b" TargetMode="External"/><Relationship Id="rId47" Type="http://schemas.openxmlformats.org/officeDocument/2006/relationships/hyperlink" Target="https://peace-recruit.hp.peraichi.com/" TargetMode="External"/><Relationship Id="rId49" Type="http://schemas.openxmlformats.org/officeDocument/2006/relationships/hyperlink" Target="https://nailmatrix16.wixsite.com/tao3/nailschool-taonail-omuta" TargetMode="External"/><Relationship Id="rId31" Type="http://schemas.openxmlformats.org/officeDocument/2006/relationships/hyperlink" Target="https://nailsthree.amebaownd.com/" TargetMode="External"/><Relationship Id="rId30" Type="http://schemas.openxmlformats.org/officeDocument/2006/relationships/hyperlink" Target="https://kimotostudio12.netlify.app/01274b" TargetMode="External"/><Relationship Id="rId33" Type="http://schemas.openxmlformats.org/officeDocument/2006/relationships/hyperlink" Target="https://mitsutasha.jimdofree.com/" TargetMode="External"/><Relationship Id="rId32" Type="http://schemas.openxmlformats.org/officeDocument/2006/relationships/hyperlink" Target="https://kimotostudio12.netlify.app/01275b" TargetMode="External"/><Relationship Id="rId35" Type="http://schemas.openxmlformats.org/officeDocument/2006/relationships/hyperlink" Target="https://qvr42.hp.peraichi.com/" TargetMode="External"/><Relationship Id="rId34" Type="http://schemas.openxmlformats.org/officeDocument/2006/relationships/hyperlink" Target="https://kimotostudio12.netlify.app/01276b" TargetMode="External"/><Relationship Id="rId37" Type="http://schemas.openxmlformats.org/officeDocument/2006/relationships/hyperlink" Target="https://salon-applause.jimdofree.com/" TargetMode="External"/><Relationship Id="rId36" Type="http://schemas.openxmlformats.org/officeDocument/2006/relationships/hyperlink" Target="https://kimotostudio12.netlify.app/01277b" TargetMode="External"/><Relationship Id="rId39" Type="http://schemas.openxmlformats.org/officeDocument/2006/relationships/hyperlink" Target="https://petit-saron-h.jimdofree.com/" TargetMode="External"/><Relationship Id="rId38" Type="http://schemas.openxmlformats.org/officeDocument/2006/relationships/hyperlink" Target="https://kimotostudio12.netlify.app/01278b" TargetMode="External"/><Relationship Id="rId20" Type="http://schemas.openxmlformats.org/officeDocument/2006/relationships/hyperlink" Target="https://kimotostudio12.netlify.app/01269b" TargetMode="External"/><Relationship Id="rId22" Type="http://schemas.openxmlformats.org/officeDocument/2006/relationships/hyperlink" Target="https://kimotostudio12.netlify.app/01270b" TargetMode="External"/><Relationship Id="rId21" Type="http://schemas.openxmlformats.org/officeDocument/2006/relationships/hyperlink" Target="https://chieko-hari-okyuin.wixsite.com/chieko" TargetMode="External"/><Relationship Id="rId24" Type="http://schemas.openxmlformats.org/officeDocument/2006/relationships/hyperlink" Target="https://kimotostudio12.netlify.app/01271b" TargetMode="External"/><Relationship Id="rId23" Type="http://schemas.openxmlformats.org/officeDocument/2006/relationships/hyperlink" Target="https://yururelatakemae.wixsite.com/-site" TargetMode="External"/><Relationship Id="rId26" Type="http://schemas.openxmlformats.org/officeDocument/2006/relationships/hyperlink" Target="https://kimotostudio12.netlify.app/01272b" TargetMode="External"/><Relationship Id="rId25" Type="http://schemas.openxmlformats.org/officeDocument/2006/relationships/hyperlink" Target="https://l8gdt.hp.peraichi.com/" TargetMode="External"/><Relationship Id="rId28" Type="http://schemas.openxmlformats.org/officeDocument/2006/relationships/hyperlink" Target="https://kimotostudio12.netlify.app/01273b" TargetMode="External"/><Relationship Id="rId27" Type="http://schemas.openxmlformats.org/officeDocument/2006/relationships/hyperlink" Target="https://mion2021.amebaownd.com/" TargetMode="External"/><Relationship Id="rId29" Type="http://schemas.openxmlformats.org/officeDocument/2006/relationships/hyperlink" Target="https://yuntaku-matricaria.amebaownd.com/" TargetMode="External"/><Relationship Id="rId11" Type="http://schemas.openxmlformats.org/officeDocument/2006/relationships/hyperlink" Target="https://mayumarl333.wixsite.com/-site" TargetMode="External"/><Relationship Id="rId10" Type="http://schemas.openxmlformats.org/officeDocument/2006/relationships/hyperlink" Target="https://kimotostudio12.netlify.app/01264b" TargetMode="External"/><Relationship Id="rId13" Type="http://schemas.openxmlformats.org/officeDocument/2006/relationships/hyperlink" Target="https://5att0.hp.peraichi.com/" TargetMode="External"/><Relationship Id="rId12" Type="http://schemas.openxmlformats.org/officeDocument/2006/relationships/hyperlink" Target="https://kimotostudio12.netlify.app/01265b" TargetMode="External"/><Relationship Id="rId15" Type="http://schemas.openxmlformats.org/officeDocument/2006/relationships/hyperlink" Target="https://ainowaaroma333.jimdofree.com/" TargetMode="External"/><Relationship Id="rId14" Type="http://schemas.openxmlformats.org/officeDocument/2006/relationships/hyperlink" Target="https://kimotostudio12.netlify.app/01266b" TargetMode="External"/><Relationship Id="rId17" Type="http://schemas.openxmlformats.org/officeDocument/2006/relationships/hyperlink" Target="https://hilmental-109.jimdofree.com/" TargetMode="External"/><Relationship Id="rId16" Type="http://schemas.openxmlformats.org/officeDocument/2006/relationships/hyperlink" Target="https://kimotostudio12.netlify.app/01267b" TargetMode="External"/><Relationship Id="rId19" Type="http://schemas.openxmlformats.org/officeDocument/2006/relationships/hyperlink" Target="https://mieko1016color.jimdofree.com/" TargetMode="External"/><Relationship Id="rId18" Type="http://schemas.openxmlformats.org/officeDocument/2006/relationships/hyperlink" Target="https://kimotostudio12.netlify.app/01268b" TargetMode="External"/><Relationship Id="rId84" Type="http://schemas.openxmlformats.org/officeDocument/2006/relationships/hyperlink" Target="https://kimotostudio12.netlify.app/01301b" TargetMode="External"/><Relationship Id="rId83" Type="http://schemas.openxmlformats.org/officeDocument/2006/relationships/hyperlink" Target="https://officehoa7271.wixsite.com/website/syuttyou" TargetMode="External"/><Relationship Id="rId86" Type="http://schemas.openxmlformats.org/officeDocument/2006/relationships/hyperlink" Target="https://kimotostudio12.netlify.app/01302b" TargetMode="External"/><Relationship Id="rId85" Type="http://schemas.openxmlformats.org/officeDocument/2006/relationships/hyperlink" Target="https://green-leaf-hakata.jimdofree.com/" TargetMode="External"/><Relationship Id="rId88" Type="http://schemas.openxmlformats.org/officeDocument/2006/relationships/hyperlink" Target="https://kimotostudio12.netlify.app/01303b" TargetMode="External"/><Relationship Id="rId87" Type="http://schemas.openxmlformats.org/officeDocument/2006/relationships/hyperlink" Target="https://michinoeki-seikotsuin.jimdofree.com/" TargetMode="External"/><Relationship Id="rId89" Type="http://schemas.openxmlformats.org/officeDocument/2006/relationships/hyperlink" Target="https://y2gxr.hp.peraichi.com/" TargetMode="External"/><Relationship Id="rId80" Type="http://schemas.openxmlformats.org/officeDocument/2006/relationships/hyperlink" Target="https://kimotostudio12.netlify.app/01299b" TargetMode="External"/><Relationship Id="rId82" Type="http://schemas.openxmlformats.org/officeDocument/2006/relationships/hyperlink" Target="https://kimotostudio12.netlify.app/01300b" TargetMode="External"/><Relationship Id="rId81" Type="http://schemas.openxmlformats.org/officeDocument/2006/relationships/hyperlink" Target="https://tensinokaze888.wixsite.com/casablanca" TargetMode="External"/><Relationship Id="rId1" Type="http://schemas.openxmlformats.org/officeDocument/2006/relationships/hyperlink" Target="https://r.goope.jp/mori-no-refujio/" TargetMode="External"/><Relationship Id="rId2" Type="http://schemas.openxmlformats.org/officeDocument/2006/relationships/hyperlink" Target="https://kimotostudio12.netlify.app/01260b" TargetMode="External"/><Relationship Id="rId3" Type="http://schemas.openxmlformats.org/officeDocument/2006/relationships/hyperlink" Target="https://kutsurogi-89massage.jimdofree.com/" TargetMode="External"/><Relationship Id="rId4" Type="http://schemas.openxmlformats.org/officeDocument/2006/relationships/hyperlink" Target="https://kimotostudio12.netlify.app/01261b" TargetMode="External"/><Relationship Id="rId9" Type="http://schemas.openxmlformats.org/officeDocument/2006/relationships/hyperlink" Target="https://aromahijiri.jimdofree.com/" TargetMode="External"/><Relationship Id="rId143" Type="http://schemas.openxmlformats.org/officeDocument/2006/relationships/hyperlink" Target="https://takayanoyakata.jimdofree.com/" TargetMode="External"/><Relationship Id="rId142" Type="http://schemas.openxmlformats.org/officeDocument/2006/relationships/hyperlink" Target="https://kimotostudio12.netlify.app/01330b" TargetMode="External"/><Relationship Id="rId141" Type="http://schemas.openxmlformats.org/officeDocument/2006/relationships/hyperlink" Target="https://comfortaran.jimdofree.com/" TargetMode="External"/><Relationship Id="rId140" Type="http://schemas.openxmlformats.org/officeDocument/2006/relationships/hyperlink" Target="https://kimotostudio12.netlify.app/01329b" TargetMode="External"/><Relationship Id="rId5" Type="http://schemas.openxmlformats.org/officeDocument/2006/relationships/hyperlink" Target="https://ayame-to-genji-to.wixsite.com/website" TargetMode="External"/><Relationship Id="rId147" Type="http://schemas.openxmlformats.org/officeDocument/2006/relationships/drawing" Target="../drawings/drawing2.xml"/><Relationship Id="rId6" Type="http://schemas.openxmlformats.org/officeDocument/2006/relationships/hyperlink" Target="https://kimotostudio12.netlify.app/01262b" TargetMode="External"/><Relationship Id="rId146" Type="http://schemas.openxmlformats.org/officeDocument/2006/relationships/hyperlink" Target="https://kimotostudio12.netlify.app/01332b" TargetMode="External"/><Relationship Id="rId7" Type="http://schemas.openxmlformats.org/officeDocument/2006/relationships/hyperlink" Target="https://yamebiyouseitai.hp.peraichi.com/yameseikotuin" TargetMode="External"/><Relationship Id="rId145" Type="http://schemas.openxmlformats.org/officeDocument/2006/relationships/hyperlink" Target="https://salonleem.wixsite.com/netorabasuthi/blank-2" TargetMode="External"/><Relationship Id="rId8" Type="http://schemas.openxmlformats.org/officeDocument/2006/relationships/hyperlink" Target="https://kimotostudio12.netlify.app/01263b" TargetMode="External"/><Relationship Id="rId144" Type="http://schemas.openxmlformats.org/officeDocument/2006/relationships/hyperlink" Target="https://kimotostudio12.netlify.app/01331b" TargetMode="External"/><Relationship Id="rId73" Type="http://schemas.openxmlformats.org/officeDocument/2006/relationships/hyperlink" Target="https://nakatomo-seikotsuin.hp.peraichi.com/top/" TargetMode="External"/><Relationship Id="rId72" Type="http://schemas.openxmlformats.org/officeDocument/2006/relationships/hyperlink" Target="https://kimotostudio12.netlify.app/01295b" TargetMode="External"/><Relationship Id="rId75" Type="http://schemas.openxmlformats.org/officeDocument/2006/relationships/hyperlink" Target="https://yfit238.hp.peraichi.com/" TargetMode="External"/><Relationship Id="rId74" Type="http://schemas.openxmlformats.org/officeDocument/2006/relationships/hyperlink" Target="https://kimotostudio12.netlify.app/01296b" TargetMode="External"/><Relationship Id="rId77" Type="http://schemas.openxmlformats.org/officeDocument/2006/relationships/hyperlink" Target="https://happiness-color.jimdofree.com/" TargetMode="External"/><Relationship Id="rId76" Type="http://schemas.openxmlformats.org/officeDocument/2006/relationships/hyperlink" Target="https://kimotostudio12.netlify.app/01297b" TargetMode="External"/><Relationship Id="rId79" Type="http://schemas.openxmlformats.org/officeDocument/2006/relationships/hyperlink" Target="https://cocosia31.wixsite.com/home" TargetMode="External"/><Relationship Id="rId78" Type="http://schemas.openxmlformats.org/officeDocument/2006/relationships/hyperlink" Target="https://kimotostudio12.netlify.app/01298b" TargetMode="External"/><Relationship Id="rId71" Type="http://schemas.openxmlformats.org/officeDocument/2006/relationships/hyperlink" Target="https://beautysalonmoana.wixsite.com/moana" TargetMode="External"/><Relationship Id="rId70" Type="http://schemas.openxmlformats.org/officeDocument/2006/relationships/hyperlink" Target="https://kimotostudio12.netlify.app/01294b" TargetMode="External"/><Relationship Id="rId139" Type="http://schemas.openxmlformats.org/officeDocument/2006/relationships/hyperlink" Target="https://ailinda.jimdofree.com/" TargetMode="External"/><Relationship Id="rId138" Type="http://schemas.openxmlformats.org/officeDocument/2006/relationships/hyperlink" Target="https://kimotostudio12.netlify.app/01328b" TargetMode="External"/><Relationship Id="rId137" Type="http://schemas.openxmlformats.org/officeDocument/2006/relationships/hyperlink" Target="https://plume-b.jimdofree.com/" TargetMode="External"/><Relationship Id="rId132" Type="http://schemas.openxmlformats.org/officeDocument/2006/relationships/hyperlink" Target="https://kimotostudio12.netlify.app/01325b" TargetMode="External"/><Relationship Id="rId131" Type="http://schemas.openxmlformats.org/officeDocument/2006/relationships/hyperlink" Target="http://r.goope.jp/sensu" TargetMode="External"/><Relationship Id="rId130" Type="http://schemas.openxmlformats.org/officeDocument/2006/relationships/hyperlink" Target="https://kimotostudio12.netlify.app/01324b" TargetMode="External"/><Relationship Id="rId136" Type="http://schemas.openxmlformats.org/officeDocument/2006/relationships/hyperlink" Target="https://kimotostudio12.netlify.app/01327b" TargetMode="External"/><Relationship Id="rId135" Type="http://schemas.openxmlformats.org/officeDocument/2006/relationships/hyperlink" Target="https://demiparatiindiba.wixsite.com/demiparati" TargetMode="External"/><Relationship Id="rId134" Type="http://schemas.openxmlformats.org/officeDocument/2006/relationships/hyperlink" Target="https://kimotostudio12.netlify.app/01326b" TargetMode="External"/><Relationship Id="rId133" Type="http://schemas.openxmlformats.org/officeDocument/2006/relationships/hyperlink" Target="https://fitness-style1.jimdofree.com/" TargetMode="External"/><Relationship Id="rId62" Type="http://schemas.openxmlformats.org/officeDocument/2006/relationships/hyperlink" Target="https://kimotostudio12.netlify.app/01290b" TargetMode="External"/><Relationship Id="rId61" Type="http://schemas.openxmlformats.org/officeDocument/2006/relationships/hyperlink" Target="https://nasuptg.wixsite.com/ogori" TargetMode="External"/><Relationship Id="rId64" Type="http://schemas.openxmlformats.org/officeDocument/2006/relationships/hyperlink" Target="https://kimotostudio12.netlify.app/01291b" TargetMode="External"/><Relationship Id="rId63" Type="http://schemas.openxmlformats.org/officeDocument/2006/relationships/hyperlink" Target="https://lqd6w.hp.peraichi.com/" TargetMode="External"/><Relationship Id="rId66" Type="http://schemas.openxmlformats.org/officeDocument/2006/relationships/hyperlink" Target="https://kimotostudio12.netlify.app/01292b" TargetMode="External"/><Relationship Id="rId65" Type="http://schemas.openxmlformats.org/officeDocument/2006/relationships/hyperlink" Target="https://chikushihongokonko.wixsite.com/chikushihongo/onayamisoudan" TargetMode="External"/><Relationship Id="rId68" Type="http://schemas.openxmlformats.org/officeDocument/2006/relationships/hyperlink" Target="https://kimotostudio12.netlify.app/01293b" TargetMode="External"/><Relationship Id="rId67" Type="http://schemas.openxmlformats.org/officeDocument/2006/relationships/hyperlink" Target="https://coloris6-20.jimdofree.com/" TargetMode="External"/><Relationship Id="rId60" Type="http://schemas.openxmlformats.org/officeDocument/2006/relationships/hyperlink" Target="https://kimotostudio12.netlify.app/01289b" TargetMode="External"/><Relationship Id="rId69" Type="http://schemas.openxmlformats.org/officeDocument/2006/relationships/hyperlink" Target="https://rizumuseitai.jimdofree.com/" TargetMode="External"/><Relationship Id="rId51" Type="http://schemas.openxmlformats.org/officeDocument/2006/relationships/hyperlink" Target="https://salon-lh.jimdofree.com/" TargetMode="External"/><Relationship Id="rId50" Type="http://schemas.openxmlformats.org/officeDocument/2006/relationships/hyperlink" Target="https://kimotostudio12.netlify.app/01284b" TargetMode="External"/><Relationship Id="rId53" Type="http://schemas.openxmlformats.org/officeDocument/2006/relationships/hyperlink" Target="https://peraichi.com/landing_pages/view/horagenki" TargetMode="External"/><Relationship Id="rId52" Type="http://schemas.openxmlformats.org/officeDocument/2006/relationships/hyperlink" Target="https://kimotostudio12.netlify.app/01285b" TargetMode="External"/><Relationship Id="rId55" Type="http://schemas.openxmlformats.org/officeDocument/2006/relationships/hyperlink" Target="https://raksanohana.jimdofree.com/" TargetMode="External"/><Relationship Id="rId54" Type="http://schemas.openxmlformats.org/officeDocument/2006/relationships/hyperlink" Target="https://kimotostudio12.netlify.app/01286b" TargetMode="External"/><Relationship Id="rId57" Type="http://schemas.openxmlformats.org/officeDocument/2006/relationships/hyperlink" Target="https://atelier-y3k.jimdofree.com/" TargetMode="External"/><Relationship Id="rId56" Type="http://schemas.openxmlformats.org/officeDocument/2006/relationships/hyperlink" Target="https://kimotostudio12.netlify.app/01287b" TargetMode="External"/><Relationship Id="rId59" Type="http://schemas.openxmlformats.org/officeDocument/2006/relationships/hyperlink" Target="https://hearty2015.wixsite.com/hearty/new" TargetMode="External"/><Relationship Id="rId58" Type="http://schemas.openxmlformats.org/officeDocument/2006/relationships/hyperlink" Target="https://kimotostudio12.netlify.app/01288b" TargetMode="External"/><Relationship Id="rId107" Type="http://schemas.openxmlformats.org/officeDocument/2006/relationships/hyperlink" Target="https://nsb-hp-toshiko.jimdofree.com/" TargetMode="External"/><Relationship Id="rId106" Type="http://schemas.openxmlformats.org/officeDocument/2006/relationships/hyperlink" Target="https://kimotostudio12.netlify.app/01312b" TargetMode="External"/><Relationship Id="rId105" Type="http://schemas.openxmlformats.org/officeDocument/2006/relationships/hyperlink" Target="https://tianail3.hp.peraichi.com/" TargetMode="External"/><Relationship Id="rId104" Type="http://schemas.openxmlformats.org/officeDocument/2006/relationships/hyperlink" Target="https://kimotostudio12.netlify.app/01311b" TargetMode="External"/><Relationship Id="rId109" Type="http://schemas.openxmlformats.org/officeDocument/2006/relationships/hyperlink" Target="https://tqst2.hp.peraichi.com/" TargetMode="External"/><Relationship Id="rId108" Type="http://schemas.openxmlformats.org/officeDocument/2006/relationships/hyperlink" Target="https://kimotostudio12.netlify.app/01313b" TargetMode="External"/><Relationship Id="rId103" Type="http://schemas.openxmlformats.org/officeDocument/2006/relationships/hyperlink" Target="https://r.goope.jp/marialeaf" TargetMode="External"/><Relationship Id="rId102" Type="http://schemas.openxmlformats.org/officeDocument/2006/relationships/hyperlink" Target="https://kimotostudio12.netlify.app/01310b" TargetMode="External"/><Relationship Id="rId101" Type="http://schemas.openxmlformats.org/officeDocument/2006/relationships/hyperlink" Target="https://power-bomb.jimdofree.com/" TargetMode="External"/><Relationship Id="rId100" Type="http://schemas.openxmlformats.org/officeDocument/2006/relationships/hyperlink" Target="https://kimotostudio12.netlify.app/01309b" TargetMode="External"/><Relationship Id="rId129" Type="http://schemas.openxmlformats.org/officeDocument/2006/relationships/hyperlink" Target="https://dental-salon-saaya.crayonsite.info/" TargetMode="External"/><Relationship Id="rId128" Type="http://schemas.openxmlformats.org/officeDocument/2006/relationships/hyperlink" Target="https://kimotostudio12.netlify.app/01323b" TargetMode="External"/><Relationship Id="rId127" Type="http://schemas.openxmlformats.org/officeDocument/2006/relationships/hyperlink" Target="https://hale.crayonsite.info/" TargetMode="External"/><Relationship Id="rId126" Type="http://schemas.openxmlformats.org/officeDocument/2006/relationships/hyperlink" Target="https://kimotostudio12.netlify.app/01322b" TargetMode="External"/><Relationship Id="rId121" Type="http://schemas.openxmlformats.org/officeDocument/2006/relationships/hyperlink" Target="https://koujiya-dazaifu.jimdofree.com/" TargetMode="External"/><Relationship Id="rId120" Type="http://schemas.openxmlformats.org/officeDocument/2006/relationships/hyperlink" Target="https://kimotostudio12.netlify.app/01319b" TargetMode="External"/><Relationship Id="rId125" Type="http://schemas.openxmlformats.org/officeDocument/2006/relationships/hyperlink" Target="https://bu7ad.hp.peraichi.com/" TargetMode="External"/><Relationship Id="rId124" Type="http://schemas.openxmlformats.org/officeDocument/2006/relationships/hyperlink" Target="https://kimotostudio12.netlify.app/01321b" TargetMode="External"/><Relationship Id="rId123" Type="http://schemas.openxmlformats.org/officeDocument/2006/relationships/hyperlink" Target="https://cocon71830511.wixsite.com/website" TargetMode="External"/><Relationship Id="rId122" Type="http://schemas.openxmlformats.org/officeDocument/2006/relationships/hyperlink" Target="https://kimotostudio12.netlify.app/01320b" TargetMode="External"/><Relationship Id="rId95" Type="http://schemas.openxmlformats.org/officeDocument/2006/relationships/hyperlink" Target="https://lotus-thai.jimdofree.com/" TargetMode="External"/><Relationship Id="rId94" Type="http://schemas.openxmlformats.org/officeDocument/2006/relationships/hyperlink" Target="https://kimotostudio12.netlify.app/01306b" TargetMode="External"/><Relationship Id="rId97" Type="http://schemas.openxmlformats.org/officeDocument/2006/relationships/hyperlink" Target="https://lymphschoolfuwafuw.wixsite.com/fukuoka" TargetMode="External"/><Relationship Id="rId96" Type="http://schemas.openxmlformats.org/officeDocument/2006/relationships/hyperlink" Target="https://kimotostudio12.netlify.app/01307b" TargetMode="External"/><Relationship Id="rId99" Type="http://schemas.openxmlformats.org/officeDocument/2006/relationships/hyperlink" Target="https://yoshitakakajiwara1.wixsite.com/zeroone" TargetMode="External"/><Relationship Id="rId98" Type="http://schemas.openxmlformats.org/officeDocument/2006/relationships/hyperlink" Target="https://kimotostudio12.netlify.app/01308b" TargetMode="External"/><Relationship Id="rId91" Type="http://schemas.openxmlformats.org/officeDocument/2006/relationships/hyperlink" Target="https://cherryblossom-sakura-04.jimdofree.com/" TargetMode="External"/><Relationship Id="rId90" Type="http://schemas.openxmlformats.org/officeDocument/2006/relationships/hyperlink" Target="https://kimotostudio12.netlify.app/01304b" TargetMode="External"/><Relationship Id="rId93" Type="http://schemas.openxmlformats.org/officeDocument/2006/relationships/hyperlink" Target="https://ryou6134.wixsite.com/rtum" TargetMode="External"/><Relationship Id="rId92" Type="http://schemas.openxmlformats.org/officeDocument/2006/relationships/hyperlink" Target="https://kimotostudio12.netlify.app/01305b" TargetMode="External"/><Relationship Id="rId118" Type="http://schemas.openxmlformats.org/officeDocument/2006/relationships/hyperlink" Target="https://kimotostudio12.netlify.app/01318b" TargetMode="External"/><Relationship Id="rId117" Type="http://schemas.openxmlformats.org/officeDocument/2006/relationships/hyperlink" Target="https://tyuki1021.wixsite.com/-site" TargetMode="External"/><Relationship Id="rId116" Type="http://schemas.openxmlformats.org/officeDocument/2006/relationships/hyperlink" Target="https://kimotostudio12.netlify.app/01317b" TargetMode="External"/><Relationship Id="rId115" Type="http://schemas.openxmlformats.org/officeDocument/2006/relationships/hyperlink" Target="https://kazukoshimojo.wixsite.com/forest" TargetMode="External"/><Relationship Id="rId119" Type="http://schemas.openxmlformats.org/officeDocument/2006/relationships/hyperlink" Target="https://nails-nao.jimdofree.com/" TargetMode="External"/><Relationship Id="rId110" Type="http://schemas.openxmlformats.org/officeDocument/2006/relationships/hyperlink" Target="https://kimotostudio12.netlify.app/01314b" TargetMode="External"/><Relationship Id="rId114" Type="http://schemas.openxmlformats.org/officeDocument/2006/relationships/hyperlink" Target="https://kimotostudio12.netlify.app/01316b" TargetMode="External"/><Relationship Id="rId113" Type="http://schemas.openxmlformats.org/officeDocument/2006/relationships/hyperlink" Target="https://r.goope.jp/lalala-barrel/about" TargetMode="External"/><Relationship Id="rId112" Type="http://schemas.openxmlformats.org/officeDocument/2006/relationships/hyperlink" Target="https://kimotostudio12.netlify.app/01315b" TargetMode="External"/><Relationship Id="rId111" Type="http://schemas.openxmlformats.org/officeDocument/2006/relationships/hyperlink" Target="https://kanaiwa888.wixsite.com/-site"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8.0"/>
    <col customWidth="1" min="3" max="26" width="8.71"/>
  </cols>
  <sheetData>
    <row r="1">
      <c r="A1" s="1" t="s">
        <v>0</v>
      </c>
      <c r="B1" s="1" t="s">
        <v>1</v>
      </c>
      <c r="C1" s="1" t="s">
        <v>2</v>
      </c>
      <c r="D1" s="1" t="s">
        <v>3</v>
      </c>
      <c r="E1" s="1" t="s">
        <v>4</v>
      </c>
      <c r="F1" s="1" t="s">
        <v>5</v>
      </c>
      <c r="G1" s="1" t="s">
        <v>6</v>
      </c>
      <c r="H1" s="1" t="s">
        <v>7</v>
      </c>
      <c r="I1" s="1" t="s">
        <v>8</v>
      </c>
      <c r="J1" s="1" t="s">
        <v>9</v>
      </c>
      <c r="K1" s="1" t="s">
        <v>10</v>
      </c>
      <c r="L1" s="1" t="s">
        <v>11</v>
      </c>
      <c r="N1" s="2" t="s">
        <v>12</v>
      </c>
    </row>
    <row r="4">
      <c r="B4" s="1" t="str">
        <f>IFERROR(__xludf.DUMMYFUNCTION("QUERY('福岡1'!A:D, ""select * where C='△'"", 1)"),"名称")</f>
        <v>名称</v>
      </c>
      <c r="C4" s="1" t="str">
        <f>IFERROR(__xludf.DUMMYFUNCTION("""COMPUTED_VALUE"""),"URL")</f>
        <v>URL</v>
      </c>
      <c r="D4" s="1" t="str">
        <f>IFERROR(__xludf.DUMMYFUNCTION("""COMPUTED_VALUE"""),"Web評価")</f>
        <v>Web評価</v>
      </c>
      <c r="E4" s="1" t="str">
        <f>IFERROR(__xludf.DUMMYFUNCTION("""COMPUTED_VALUE"""),"判定コメント/特徴")</f>
        <v>判定コメント/特徴</v>
      </c>
    </row>
    <row r="5">
      <c r="A5" s="2" t="str">
        <f t="shared" ref="A5:A161" si="1">TEXT(1100 + ROW() -5,"0000")</f>
        <v>1100</v>
      </c>
      <c r="B5" s="1" t="str">
        <f>IFERROR(__xludf.DUMMYFUNCTION("""COMPUTED_VALUE"""),"ハーベア（フィトセラピーサロン）")</f>
        <v>ハーベア（フィトセラピーサロン）</v>
      </c>
      <c r="C5" s="3" t="str">
        <f>IFERROR(__xludf.DUMMYFUNCTION("""COMPUTED_VALUE"""),"http://herbear.jp/salon/")</f>
        <v>http://herbear.jp/salon/</v>
      </c>
      <c r="D5" s="1" t="str">
        <f>IFERROR(__xludf.DUMMYFUNCTION("""COMPUTED_VALUE"""),"△")</f>
        <v>△</v>
      </c>
      <c r="E5" s="1" t="str">
        <f>IFERROR(__xludf.DUMMYFUNCTION("""COMPUTED_VALUE"""),"独自ドメインだが構成が簡素で情報が不十分")</f>
        <v>独自ドメインだが構成が簡素で情報が不十分</v>
      </c>
      <c r="F5" s="4" t="s">
        <v>13</v>
      </c>
      <c r="L5" s="2">
        <v>1.0</v>
      </c>
    </row>
    <row r="6">
      <c r="A6" s="2" t="str">
        <f t="shared" si="1"/>
        <v>1101</v>
      </c>
      <c r="B6" s="1" t="str">
        <f>IFERROR(__xludf.DUMMYFUNCTION("""COMPUTED_VALUE"""),"プライベートサロン「フィリア」＆チャネリング")</f>
        <v>プライベートサロン「フィリア」＆チャネリング</v>
      </c>
      <c r="C6" s="3" t="str">
        <f>IFERROR(__xludf.DUMMYFUNCTION("""COMPUTED_VALUE"""),"https://yamashitamiki.com/private-salon-menu/")</f>
        <v>https://yamashitamiki.com/private-salon-menu/</v>
      </c>
      <c r="D6" s="1" t="str">
        <f>IFERROR(__xludf.DUMMYFUNCTION("""COMPUTED_VALUE"""),"△")</f>
        <v>△</v>
      </c>
      <c r="E6" s="1" t="str">
        <f>IFERROR(__xludf.DUMMYFUNCTION("""COMPUTED_VALUE"""),"独自ドメインだが構成が簡素で情報が不十分")</f>
        <v>独自ドメインだが構成が簡素で情報が不十分</v>
      </c>
      <c r="F6" s="4" t="s">
        <v>14</v>
      </c>
      <c r="M6" s="2" t="s">
        <v>15</v>
      </c>
    </row>
    <row r="7">
      <c r="A7" s="2" t="str">
        <f t="shared" si="1"/>
        <v>1102</v>
      </c>
      <c r="B7" s="1" t="str">
        <f>IFERROR(__xludf.DUMMYFUNCTION("""COMPUTED_VALUE"""),"癒楽(ユラ)")</f>
        <v>癒楽(ユラ)</v>
      </c>
      <c r="C7" s="3" t="str">
        <f>IFERROR(__xludf.DUMMYFUNCTION("""COMPUTED_VALUE"""),"https://beauty.hotpepper.jp/kr/slnH000670718/")</f>
        <v>https://beauty.hotpepper.jp/kr/slnH000670718/</v>
      </c>
      <c r="D7" s="1" t="str">
        <f>IFERROR(__xludf.DUMMYFUNCTION("""COMPUTED_VALUE"""),"△")</f>
        <v>△</v>
      </c>
      <c r="E7" s="1" t="str">
        <f>IFERROR(__xludf.DUMMYFUNCTION("""COMPUTED_VALUE"""),"ホットペッパーのみ掲載で独立サイトがなく改善余地が大きい")</f>
        <v>ホットペッパーのみ掲載で独立サイトがなく改善余地が大きい</v>
      </c>
      <c r="F7" s="4" t="s">
        <v>16</v>
      </c>
    </row>
    <row r="8">
      <c r="A8" s="2" t="str">
        <f t="shared" si="1"/>
        <v>1103</v>
      </c>
      <c r="B8" s="1" t="str">
        <f>IFERROR(__xludf.DUMMYFUNCTION("""COMPUTED_VALUE"""),"志岐カウンセリングオフィス")</f>
        <v>志岐カウンセリングオフィス</v>
      </c>
      <c r="C8" s="3" t="str">
        <f>IFERROR(__xludf.DUMMYFUNCTION("""COMPUTED_VALUE"""),"https://www.shiki-counseling.com/goaisastu")</f>
        <v>https://www.shiki-counseling.com/goaisastu</v>
      </c>
      <c r="D8" s="1" t="str">
        <f>IFERROR(__xludf.DUMMYFUNCTION("""COMPUTED_VALUE"""),"△")</f>
        <v>△</v>
      </c>
      <c r="E8" s="1" t="str">
        <f>IFERROR(__xludf.DUMMYFUNCTION("""COMPUTED_VALUE"""),"独自ドメインだが構成が簡素で情報が不十分")</f>
        <v>独自ドメインだが構成が簡素で情報が不十分</v>
      </c>
      <c r="F8" s="4" t="s">
        <v>17</v>
      </c>
    </row>
    <row r="9">
      <c r="A9" s="2" t="str">
        <f t="shared" si="1"/>
        <v>1104</v>
      </c>
      <c r="B9" s="1" t="str">
        <f>IFERROR(__xludf.DUMMYFUNCTION("""COMPUTED_VALUE"""),"こころRyu")</f>
        <v>こころRyu</v>
      </c>
      <c r="C9" s="3" t="str">
        <f>IFERROR(__xludf.DUMMYFUNCTION("""COMPUTED_VALUE"""),"https://mentalhealth-ryu.jp/blog")</f>
        <v>https://mentalhealth-ryu.jp/blog</v>
      </c>
      <c r="D9" s="1" t="str">
        <f>IFERROR(__xludf.DUMMYFUNCTION("""COMPUTED_VALUE"""),"△")</f>
        <v>△</v>
      </c>
      <c r="E9" s="1" t="str">
        <f>IFERROR(__xludf.DUMMYFUNCTION("""COMPUTED_VALUE"""),"ブログ形式で情報が散在している")</f>
        <v>ブログ形式で情報が散在している</v>
      </c>
      <c r="F9" s="4" t="s">
        <v>18</v>
      </c>
    </row>
    <row r="10">
      <c r="A10" s="2" t="str">
        <f t="shared" si="1"/>
        <v>1105</v>
      </c>
      <c r="B10" s="1" t="str">
        <f>IFERROR(__xludf.DUMMYFUNCTION("""COMPUTED_VALUE"""),"充実生活社")</f>
        <v>充実生活社</v>
      </c>
      <c r="C10" s="3" t="str">
        <f>IFERROR(__xludf.DUMMYFUNCTION("""COMPUTED_VALUE"""),"http://www.websp01.com/jyujitu/")</f>
        <v>http://www.websp01.com/jyujitu/</v>
      </c>
      <c r="D10" s="1" t="str">
        <f>IFERROR(__xludf.DUMMYFUNCTION("""COMPUTED_VALUE"""),"△")</f>
        <v>△</v>
      </c>
      <c r="E10" s="1" t="str">
        <f>IFERROR(__xludf.DUMMYFUNCTION("""COMPUTED_VALUE"""),"情報が散在しナビゲーションが不明確")</f>
        <v>情報が散在しナビゲーションが不明確</v>
      </c>
      <c r="F10" s="4" t="s">
        <v>19</v>
      </c>
    </row>
    <row r="11">
      <c r="A11" s="2" t="str">
        <f t="shared" si="1"/>
        <v>1106</v>
      </c>
      <c r="B11" s="1" t="str">
        <f>IFERROR(__xludf.DUMMYFUNCTION("""COMPUTED_VALUE"""),"薬草の森 はくすい堂")</f>
        <v>薬草の森 はくすい堂</v>
      </c>
      <c r="C11" s="3" t="str">
        <f>IFERROR(__xludf.DUMMYFUNCTION("""COMPUTED_VALUE"""),"https://reserva.be/hakusuido/about")</f>
        <v>https://reserva.be/hakusuido/about</v>
      </c>
      <c r="D11" s="1" t="str">
        <f>IFERROR(__xludf.DUMMYFUNCTION("""COMPUTED_VALUE"""),"△")</f>
        <v>△</v>
      </c>
      <c r="E11" s="1" t="str">
        <f>IFERROR(__xludf.DUMMYFUNCTION("""COMPUTED_VALUE"""),"予約システム中心で独立サイトがなく改善余地が大きい")</f>
        <v>予約システム中心で独立サイトがなく改善余地が大きい</v>
      </c>
      <c r="F11" s="4" t="s">
        <v>20</v>
      </c>
    </row>
    <row r="12">
      <c r="A12" s="2" t="str">
        <f t="shared" si="1"/>
        <v>1107</v>
      </c>
      <c r="B12" s="1" t="str">
        <f>IFERROR(__xludf.DUMMYFUNCTION("""COMPUTED_VALUE"""),"臨床心理シランの室")</f>
        <v>臨床心理シランの室</v>
      </c>
      <c r="C12" s="3" t="str">
        <f>IFERROR(__xludf.DUMMYFUNCTION("""COMPUTED_VALUE"""),"https://tt0330-kam.com/female")</f>
        <v>https://tt0330-kam.com/female</v>
      </c>
      <c r="D12" s="1" t="str">
        <f>IFERROR(__xludf.DUMMYFUNCTION("""COMPUTED_VALUE"""),"△")</f>
        <v>△</v>
      </c>
      <c r="E12" s="1" t="str">
        <f>IFERROR(__xludf.DUMMYFUNCTION("""COMPUTED_VALUE"""),"独自ドメインだが構成が簡素で情報が不十分")</f>
        <v>独自ドメインだが構成が簡素で情報が不十分</v>
      </c>
      <c r="F12" s="4" t="s">
        <v>21</v>
      </c>
    </row>
    <row r="13">
      <c r="A13" s="2" t="str">
        <f t="shared" si="1"/>
        <v>1108</v>
      </c>
      <c r="B13" s="1" t="str">
        <f>IFERROR(__xludf.DUMMYFUNCTION("""COMPUTED_VALUE"""),"メンタルサロン 芦田ジュン")</f>
        <v>メンタルサロン 芦田ジュン</v>
      </c>
      <c r="C13" s="3" t="str">
        <f>IFERROR(__xludf.DUMMYFUNCTION("""COMPUTED_VALUE"""),"https://ashidamentalsalon.com/")</f>
        <v>https://ashidamentalsalon.com/</v>
      </c>
      <c r="D13" s="1" t="str">
        <f>IFERROR(__xludf.DUMMYFUNCTION("""COMPUTED_VALUE"""),"△")</f>
        <v>△</v>
      </c>
      <c r="E13" s="1" t="str">
        <f>IFERROR(__xludf.DUMMYFUNCTION("""COMPUTED_VALUE"""),"独自ドメインだが構成が簡素で情報が不十分")</f>
        <v>独自ドメインだが構成が簡素で情報が不十分</v>
      </c>
      <c r="F13" s="4" t="s">
        <v>22</v>
      </c>
    </row>
    <row r="14">
      <c r="A14" s="2" t="str">
        <f t="shared" si="1"/>
        <v>1109</v>
      </c>
      <c r="B14" s="1" t="str">
        <f>IFERROR(__xludf.DUMMYFUNCTION("""COMPUTED_VALUE"""),"小倉南区ヒーリングサロンさえ")</f>
        <v>小倉南区ヒーリングサロンさえ</v>
      </c>
      <c r="C14" s="3" t="str">
        <f>IFERROR(__xludf.DUMMYFUNCTION("""COMPUTED_VALUE"""),"https://sae38.com/")</f>
        <v>https://sae38.com/</v>
      </c>
      <c r="D14" s="1" t="str">
        <f>IFERROR(__xludf.DUMMYFUNCTION("""COMPUTED_VALUE"""),"△")</f>
        <v>△</v>
      </c>
      <c r="E14" s="1" t="str">
        <f>IFERROR(__xludf.DUMMYFUNCTION("""COMPUTED_VALUE"""),"独自ドメインだが構成が簡素で情報が不十分")</f>
        <v>独自ドメインだが構成が簡素で情報が不十分</v>
      </c>
      <c r="F14" s="4" t="s">
        <v>23</v>
      </c>
    </row>
    <row r="15">
      <c r="A15" s="2" t="str">
        <f t="shared" si="1"/>
        <v>1110</v>
      </c>
      <c r="B15" s="1" t="str">
        <f>IFERROR(__xludf.DUMMYFUNCTION("""COMPUTED_VALUE"""),"セラピーやよし（弥吉）")</f>
        <v>セラピーやよし（弥吉）</v>
      </c>
      <c r="C15" s="3" t="str">
        <f>IFERROR(__xludf.DUMMYFUNCTION("""COMPUTED_VALUE"""),"https://yayoshi.jp/")</f>
        <v>https://yayoshi.jp/</v>
      </c>
      <c r="D15" s="1" t="str">
        <f>IFERROR(__xludf.DUMMYFUNCTION("""COMPUTED_VALUE"""),"△")</f>
        <v>△</v>
      </c>
      <c r="E15" s="1" t="str">
        <f>IFERROR(__xludf.DUMMYFUNCTION("""COMPUTED_VALUE"""),"独自ドメインだが構成が簡素で情報が不十分")</f>
        <v>独自ドメインだが構成が簡素で情報が不十分</v>
      </c>
      <c r="F15" s="4" t="s">
        <v>24</v>
      </c>
    </row>
    <row r="16">
      <c r="A16" s="2" t="str">
        <f t="shared" si="1"/>
        <v>1111</v>
      </c>
      <c r="B16" s="1" t="str">
        <f>IFERROR(__xludf.DUMMYFUNCTION("""COMPUTED_VALUE"""),"Office smile therapy")</f>
        <v>Office smile therapy</v>
      </c>
      <c r="C16" s="3" t="str">
        <f>IFERROR(__xludf.DUMMYFUNCTION("""COMPUTED_VALUE"""),"https://coubic.com/smiletherapy")</f>
        <v>https://coubic.com/smiletherapy</v>
      </c>
      <c r="D16" s="1" t="str">
        <f>IFERROR(__xludf.DUMMYFUNCTION("""COMPUTED_VALUE"""),"△")</f>
        <v>△</v>
      </c>
      <c r="E16" s="1" t="str">
        <f>IFERROR(__xludf.DUMMYFUNCTION("""COMPUTED_VALUE"""),"予約システム中心で独立サイトがなく改善余地が大きい")</f>
        <v>予約システム中心で独立サイトがなく改善余地が大きい</v>
      </c>
      <c r="F16" s="4" t="s">
        <v>25</v>
      </c>
    </row>
    <row r="17">
      <c r="A17" s="2" t="str">
        <f t="shared" si="1"/>
        <v>1112</v>
      </c>
      <c r="B17" s="1" t="str">
        <f>IFERROR(__xludf.DUMMYFUNCTION("""COMPUTED_VALUE"""),"本来の自分に覚醒 自分開花カウンセラー Chieko")</f>
        <v>本来の自分に覚醒 自分開花カウンセラー Chieko</v>
      </c>
      <c r="C17" s="3" t="str">
        <f>IFERROR(__xludf.DUMMYFUNCTION("""COMPUTED_VALUE"""),"https://www.ameba.jp/profile/general/clary-clary/")</f>
        <v>https://www.ameba.jp/profile/general/clary-clary/</v>
      </c>
      <c r="D17" s="1" t="str">
        <f>IFERROR(__xludf.DUMMYFUNCTION("""COMPUTED_VALUE"""),"△")</f>
        <v>△</v>
      </c>
      <c r="E17" s="1" t="str">
        <f>IFERROR(__xludf.DUMMYFUNCTION("""COMPUTED_VALUE"""),"Amebaブログのみで公式サイト整備がなく改善余地が非常に大きい")</f>
        <v>Amebaブログのみで公式サイト整備がなく改善余地が非常に大きい</v>
      </c>
      <c r="F17" s="4" t="s">
        <v>26</v>
      </c>
      <c r="M17" s="2" t="s">
        <v>15</v>
      </c>
    </row>
    <row r="18">
      <c r="A18" s="2" t="str">
        <f t="shared" si="1"/>
        <v>1113</v>
      </c>
      <c r="B18" s="1" t="str">
        <f>IFERROR(__xludf.DUMMYFUNCTION("""COMPUTED_VALUE"""),"メンタルサポートグループ久留米")</f>
        <v>メンタルサポートグループ久留米</v>
      </c>
      <c r="C18" s="3" t="str">
        <f>IFERROR(__xludf.DUMMYFUNCTION("""COMPUTED_VALUE"""),"https://jmty.jp/fukuoka/ser-cons/article-ay7s3?srsltid=AfmBOopn3q6YfRSB3HL610SoSFQ98eAHlAmpS7WKqVAhjBKBFW1mkba4")</f>
        <v>https://jmty.jp/fukuoka/ser-cons/article-ay7s3?srsltid=AfmBOopn3q6YfRSB3HL610SoSFQ98eAHlAmpS7WKqVAhjBKBFW1mkba4</v>
      </c>
      <c r="D18" s="1" t="str">
        <f>IFERROR(__xludf.DUMMYFUNCTION("""COMPUTED_VALUE"""),"△")</f>
        <v>△</v>
      </c>
      <c r="E18" s="1" t="str">
        <f>IFERROR(__xludf.DUMMYFUNCTION("""COMPUTED_VALUE"""),"ポータル掲載のみで独立サイトがなく改善余地が大きい")</f>
        <v>ポータル掲載のみで独立サイトがなく改善余地が大きい</v>
      </c>
      <c r="F18" s="4" t="s">
        <v>27</v>
      </c>
    </row>
    <row r="19">
      <c r="A19" s="2" t="str">
        <f t="shared" si="1"/>
        <v>1114</v>
      </c>
      <c r="B19" s="1" t="str">
        <f>IFERROR(__xludf.DUMMYFUNCTION("""COMPUTED_VALUE"""),"セラピーサロン ＊サラの庭＊ Sarah's Garden")</f>
        <v>セラピーサロン ＊サラの庭＊ Sarah's Garden</v>
      </c>
      <c r="C19" s="3" t="str">
        <f>IFERROR(__xludf.DUMMYFUNCTION("""COMPUTED_VALUE"""),"https://fairy-sarah.amebaownd.com/")</f>
        <v>https://fairy-sarah.amebaownd.com/</v>
      </c>
      <c r="D19" s="1" t="str">
        <f>IFERROR(__xludf.DUMMYFUNCTION("""COMPUTED_VALUE"""),"△")</f>
        <v>△</v>
      </c>
      <c r="E19" s="1" t="str">
        <f>IFERROR(__xludf.DUMMYFUNCTION("""COMPUTED_VALUE"""),"Amebaownd無料版テンプレで構成されWeb改善余地が大きい")</f>
        <v>Amebaownd無料版テンプレで構成されWeb改善余地が大きい</v>
      </c>
      <c r="F19" s="4" t="s">
        <v>28</v>
      </c>
    </row>
    <row r="20">
      <c r="A20" s="2" t="str">
        <f t="shared" si="1"/>
        <v>1115</v>
      </c>
      <c r="B20" s="1" t="str">
        <f>IFERROR(__xludf.DUMMYFUNCTION("""COMPUTED_VALUE"""),"private salon chill（チル）")</f>
        <v>private salon chill（チル）</v>
      </c>
      <c r="C20" s="3" t="str">
        <f>IFERROR(__xludf.DUMMYFUNCTION("""COMPUTED_VALUE"""),"https://www.privatesalon-chill.com/achievement/")</f>
        <v>https://www.privatesalon-chill.com/achievement/</v>
      </c>
      <c r="D20" s="1" t="str">
        <f>IFERROR(__xludf.DUMMYFUNCTION("""COMPUTED_VALUE"""),"△")</f>
        <v>△</v>
      </c>
      <c r="E20" s="1" t="str">
        <f>IFERROR(__xludf.DUMMYFUNCTION("""COMPUTED_VALUE"""),"独自ドメインだが構成が簡素で情報が不十分")</f>
        <v>独自ドメインだが構成が簡素で情報が不十分</v>
      </c>
      <c r="F20" s="4" t="s">
        <v>29</v>
      </c>
      <c r="L20" s="2">
        <v>1.0</v>
      </c>
    </row>
    <row r="21" ht="15.75" customHeight="1">
      <c r="A21" s="2" t="str">
        <f t="shared" si="1"/>
        <v>1116</v>
      </c>
      <c r="B21" s="1" t="str">
        <f>IFERROR(__xludf.DUMMYFUNCTION("""COMPUTED_VALUE"""),"Hanabusa日和（保育ピアノサポート）")</f>
        <v>Hanabusa日和（保育ピアノサポート）</v>
      </c>
      <c r="C21" s="3" t="str">
        <f>IFERROR(__xludf.DUMMYFUNCTION("""COMPUTED_VALUE"""),"https://hanabusa-music.com/blog/542/")</f>
        <v>https://hanabusa-music.com/blog/542/</v>
      </c>
      <c r="D21" s="1" t="str">
        <f>IFERROR(__xludf.DUMMYFUNCTION("""COMPUTED_VALUE"""),"△")</f>
        <v>△</v>
      </c>
      <c r="E21" s="1" t="str">
        <f>IFERROR(__xludf.DUMMYFUNCTION("""COMPUTED_VALUE"""),"ブログ形式で情報が散在している")</f>
        <v>ブログ形式で情報が散在している</v>
      </c>
      <c r="F21" s="4" t="s">
        <v>30</v>
      </c>
    </row>
    <row r="22" ht="15.75" customHeight="1">
      <c r="A22" s="2" t="str">
        <f t="shared" si="1"/>
        <v>1117</v>
      </c>
      <c r="B22" s="1" t="str">
        <f>IFERROR(__xludf.DUMMYFUNCTION("""COMPUTED_VALUE"""),"スタジオリカクリニック")</f>
        <v>スタジオリカクリニック</v>
      </c>
      <c r="C22" s="3" t="str">
        <f>IFERROR(__xludf.DUMMYFUNCTION("""COMPUTED_VALUE"""),"https://www.rikaclinic.jp/")</f>
        <v>https://www.rikaclinic.jp/</v>
      </c>
      <c r="D22" s="1" t="str">
        <f>IFERROR(__xludf.DUMMYFUNCTION("""COMPUTED_VALUE"""),"△")</f>
        <v>△</v>
      </c>
      <c r="E22" s="1" t="str">
        <f>IFERROR(__xludf.DUMMYFUNCTION("""COMPUTED_VALUE"""),"医療機関で個人運営ではない可能性があるため営業対象として要精査")</f>
        <v>医療機関で個人運営ではない可能性があるため営業対象として要精査</v>
      </c>
      <c r="F22" s="4" t="s">
        <v>31</v>
      </c>
    </row>
    <row r="23" ht="15.75" customHeight="1">
      <c r="A23" s="2" t="str">
        <f t="shared" si="1"/>
        <v>1118</v>
      </c>
      <c r="B23" s="1" t="str">
        <f>IFERROR(__xludf.DUMMYFUNCTION("""COMPUTED_VALUE"""),"メンタルケアサロン心の翼 筑紫野二日市店")</f>
        <v>メンタルケアサロン心の翼 筑紫野二日市店</v>
      </c>
      <c r="C23" s="3" t="str">
        <f>IFERROR(__xludf.DUMMYFUNCTION("""COMPUTED_VALUE"""),"https://www.ekiten.jp/shop_84471545/")</f>
        <v>https://www.ekiten.jp/shop_84471545/</v>
      </c>
      <c r="D23" s="1" t="str">
        <f>IFERROR(__xludf.DUMMYFUNCTION("""COMPUTED_VALUE"""),"△")</f>
        <v>△</v>
      </c>
      <c r="E23" s="1" t="str">
        <f>IFERROR(__xludf.DUMMYFUNCTION("""COMPUTED_VALUE"""),"ポータル掲載のみで独立サイトがなく改善余地が大きい")</f>
        <v>ポータル掲載のみで独立サイトがなく改善余地が大きい</v>
      </c>
      <c r="F23" s="4" t="s">
        <v>32</v>
      </c>
    </row>
    <row r="24" ht="15.75" customHeight="1">
      <c r="A24" s="2" t="str">
        <f t="shared" si="1"/>
        <v>1119</v>
      </c>
      <c r="B24" s="1" t="str">
        <f>IFERROR(__xludf.DUMMYFUNCTION("""COMPUTED_VALUE"""),"整骨院フーニ")</f>
        <v>整骨院フーニ</v>
      </c>
      <c r="C24" s="3" t="str">
        <f>IFERROR(__xludf.DUMMYFUNCTION("""COMPUTED_VALUE"""),"https://seikotsuin-funi.net/")</f>
        <v>https://seikotsuin-funi.net/</v>
      </c>
      <c r="D24" s="1" t="str">
        <f>IFERROR(__xludf.DUMMYFUNCTION("""COMPUTED_VALUE"""),"△")</f>
        <v>△</v>
      </c>
      <c r="E24" s="1" t="str">
        <f>IFERROR(__xludf.DUMMYFUNCTION("""COMPUTED_VALUE"""),"独自ドメインだが構成が簡素で情報が不十分")</f>
        <v>独自ドメインだが構成が簡素で情報が不十分</v>
      </c>
      <c r="F24" s="4" t="s">
        <v>33</v>
      </c>
    </row>
    <row r="25" ht="15.75" customHeight="1">
      <c r="A25" s="2" t="str">
        <f t="shared" si="1"/>
        <v>1120</v>
      </c>
      <c r="B25" s="1" t="str">
        <f>IFERROR(__xludf.DUMMYFUNCTION("""COMPUTED_VALUE"""),"オヤム(oyam)")</f>
        <v>オヤム(oyam)</v>
      </c>
      <c r="C25" s="3" t="str">
        <f>IFERROR(__xludf.DUMMYFUNCTION("""COMPUTED_VALUE"""),"https://beauty.hotpepper.jp/kr/slnH000695557/")</f>
        <v>https://beauty.hotpepper.jp/kr/slnH000695557/</v>
      </c>
      <c r="D25" s="1" t="str">
        <f>IFERROR(__xludf.DUMMYFUNCTION("""COMPUTED_VALUE"""),"△")</f>
        <v>△</v>
      </c>
      <c r="E25" s="1" t="str">
        <f>IFERROR(__xludf.DUMMYFUNCTION("""COMPUTED_VALUE"""),"ホットペッパーのみ掲載で独立サイトがなく改善余地が大きい")</f>
        <v>ホットペッパーのみ掲載で独立サイトがなく改善余地が大きい</v>
      </c>
      <c r="F25" s="4" t="s">
        <v>34</v>
      </c>
      <c r="N25" s="2" t="s">
        <v>35</v>
      </c>
    </row>
    <row r="26" ht="15.75" customHeight="1">
      <c r="A26" s="2" t="str">
        <f t="shared" si="1"/>
        <v>1121</v>
      </c>
      <c r="B26" s="1" t="str">
        <f>IFERROR(__xludf.DUMMYFUNCTION("""COMPUTED_VALUE"""),"浩氣館道場")</f>
        <v>浩氣館道場</v>
      </c>
      <c r="C26" s="3" t="str">
        <f>IFERROR(__xludf.DUMMYFUNCTION("""COMPUTED_VALUE"""),"https://www.s-grid-fukuoka.com/blank-15")</f>
        <v>https://www.s-grid-fukuoka.com/blank-15</v>
      </c>
      <c r="D26" s="1" t="str">
        <f>IFERROR(__xludf.DUMMYFUNCTION("""COMPUTED_VALUE"""),"△")</f>
        <v>△</v>
      </c>
      <c r="E26" s="1" t="str">
        <f>IFERROR(__xludf.DUMMYFUNCTION("""COMPUTED_VALUE"""),"身心の統一, 人間力育成, マインドフルネス対応（情報量少なめ）")</f>
        <v>身心の統一, 人間力育成, マインドフルネス対応（情報量少なめ）</v>
      </c>
      <c r="F26" s="4" t="s">
        <v>36</v>
      </c>
      <c r="L26" s="2">
        <v>1.0</v>
      </c>
    </row>
    <row r="27" ht="15.75" customHeight="1">
      <c r="A27" s="2" t="str">
        <f t="shared" si="1"/>
        <v>1122</v>
      </c>
      <c r="B27" s="1" t="str">
        <f>IFERROR(__xludf.DUMMYFUNCTION("""COMPUTED_VALUE"""),"甲易堂")</f>
        <v>甲易堂</v>
      </c>
      <c r="C27" s="1"/>
      <c r="D27" s="1" t="str">
        <f>IFERROR(__xludf.DUMMYFUNCTION("""COMPUTED_VALUE"""),"△")</f>
        <v>△</v>
      </c>
      <c r="E27" s="1" t="str">
        <f>IFERROR(__xludf.DUMMYFUNCTION("""COMPUTED_VALUE"""),"ポータルサイト掲載のみ（独立サイト未確認）")</f>
        <v>ポータルサイト掲載のみ（独立サイト未確認）</v>
      </c>
      <c r="F27" s="4" t="s">
        <v>37</v>
      </c>
    </row>
    <row r="28" ht="15.75" customHeight="1">
      <c r="A28" s="2" t="str">
        <f t="shared" si="1"/>
        <v>1123</v>
      </c>
      <c r="B28" s="1" t="str">
        <f>IFERROR(__xludf.DUMMYFUNCTION("""COMPUTED_VALUE"""),"癒しサロン APPLAUSE")</f>
        <v>癒しサロン APPLAUSE</v>
      </c>
      <c r="C28" s="3" t="str">
        <f>IFERROR(__xludf.DUMMYFUNCTION("""COMPUTED_VALUE"""),"https://setsuritsu-senmon.com/fukuoka/15591")</f>
        <v>https://setsuritsu-senmon.com/fukuoka/15591</v>
      </c>
      <c r="D28" s="1" t="str">
        <f>IFERROR(__xludf.DUMMYFUNCTION("""COMPUTED_VALUE"""),"△")</f>
        <v>△</v>
      </c>
      <c r="E28" s="1" t="str">
        <f>IFERROR(__xludf.DUMMYFUNCTION("""COMPUTED_VALUE"""),"レイキハンドヒーリング, 経営者向け（ポータルサイト掲載）")</f>
        <v>レイキハンドヒーリング, 経営者向け（ポータルサイト掲載）</v>
      </c>
      <c r="F28" s="4" t="s">
        <v>38</v>
      </c>
      <c r="L28" s="2">
        <v>1.0</v>
      </c>
    </row>
    <row r="29" ht="15.75" customHeight="1">
      <c r="A29" s="2" t="str">
        <f t="shared" si="1"/>
        <v>1124</v>
      </c>
      <c r="B29" s="1" t="str">
        <f>IFERROR(__xludf.DUMMYFUNCTION("""COMPUTED_VALUE"""),"マインドフルネス（heal-the-world）")</f>
        <v>マインドフルネス（heal-the-world）</v>
      </c>
      <c r="C29" s="3" t="str">
        <f>IFERROR(__xludf.DUMMYFUNCTION("""COMPUTED_VALUE"""),"https://heal-the-world.amebaownd.com/")</f>
        <v>https://heal-the-world.amebaownd.com/</v>
      </c>
      <c r="D29" s="1" t="str">
        <f>IFERROR(__xludf.DUMMYFUNCTION("""COMPUTED_VALUE"""),"△")</f>
        <v>△</v>
      </c>
      <c r="E29" s="1" t="str">
        <f>IFERROR(__xludf.DUMMYFUNCTION("""COMPUTED_VALUE"""),"セールストレーニング, 能力開発, コーチング, カウンセリング（Amebaownd）")</f>
        <v>セールストレーニング, 能力開発, コーチング, カウンセリング（Amebaownd）</v>
      </c>
      <c r="F29" s="4" t="s">
        <v>39</v>
      </c>
    </row>
    <row r="30" ht="15.75" customHeight="1">
      <c r="A30" s="2" t="str">
        <f t="shared" si="1"/>
        <v>1125</v>
      </c>
      <c r="B30" s="1" t="str">
        <f>IFERROR(__xludf.DUMMYFUNCTION("""COMPUTED_VALUE"""),"ナルシス")</f>
        <v>ナルシス</v>
      </c>
      <c r="C30" s="3" t="str">
        <f>IFERROR(__xludf.DUMMYFUNCTION("""COMPUTED_VALUE"""),"https://beauty.hotpepper.jp/kr/slnH000723685/")</f>
        <v>https://beauty.hotpepper.jp/kr/slnH000723685/</v>
      </c>
      <c r="D30" s="1" t="str">
        <f>IFERROR(__xludf.DUMMYFUNCTION("""COMPUTED_VALUE"""),"△")</f>
        <v>△</v>
      </c>
      <c r="E30" s="1" t="str">
        <f>IFERROR(__xludf.DUMMYFUNCTION("""COMPUTED_VALUE"""),"完全予約制, 不定休（ホットペッパーのみ）")</f>
        <v>完全予約制, 不定休（ホットペッパーのみ）</v>
      </c>
      <c r="F30" s="4" t="s">
        <v>40</v>
      </c>
      <c r="N30" s="2" t="s">
        <v>35</v>
      </c>
    </row>
    <row r="31" ht="15.75" customHeight="1">
      <c r="A31" s="2" t="str">
        <f t="shared" si="1"/>
        <v>1126</v>
      </c>
      <c r="B31" s="1" t="str">
        <f>IFERROR(__xludf.DUMMYFUNCTION("""COMPUTED_VALUE"""),"プライベートサロン Rtam")</f>
        <v>プライベートサロン Rtam</v>
      </c>
      <c r="C31" s="3" t="str">
        <f>IFERROR(__xludf.DUMMYFUNCTION("""COMPUTED_VALUE"""),"https://mise-repo.com/12415/")</f>
        <v>https://mise-repo.com/12415/</v>
      </c>
      <c r="D31" s="1" t="str">
        <f>IFERROR(__xludf.DUMMYFUNCTION("""COMPUTED_VALUE"""),"△")</f>
        <v>△</v>
      </c>
      <c r="E31" s="1" t="str">
        <f>IFERROR(__xludf.DUMMYFUNCTION("""COMPUTED_VALUE"""),"完全予約制, オーダーメイド施術（ポータルサイト掲載）")</f>
        <v>完全予約制, オーダーメイド施術（ポータルサイト掲載）</v>
      </c>
      <c r="F31" s="4" t="s">
        <v>41</v>
      </c>
    </row>
    <row r="32" ht="15.75" customHeight="1">
      <c r="A32" s="2" t="str">
        <f t="shared" si="1"/>
        <v>1127</v>
      </c>
      <c r="B32" s="1" t="str">
        <f>IFERROR(__xludf.DUMMYFUNCTION("""COMPUTED_VALUE"""),"トータルビューティーシェアサロン～Wa～ artemisia/L")</f>
        <v>トータルビューティーシェアサロン～Wa～ artemisia/L</v>
      </c>
      <c r="C32" s="3" t="str">
        <f>IFERROR(__xludf.DUMMYFUNCTION("""COMPUTED_VALUE"""),"https://artemisia1001.amebaownd.com/")</f>
        <v>https://artemisia1001.amebaownd.com/</v>
      </c>
      <c r="D32" s="1" t="str">
        <f>IFERROR(__xludf.DUMMYFUNCTION("""COMPUTED_VALUE"""),"△")</f>
        <v>△</v>
      </c>
      <c r="E32" s="1" t="str">
        <f>IFERROR(__xludf.DUMMYFUNCTION("""COMPUTED_VALUE"""),"ヒーリング, カウンセリング込み, ハーブセラピー（Amebaownd）")</f>
        <v>ヒーリング, カウンセリング込み, ハーブセラピー（Amebaownd）</v>
      </c>
      <c r="F32" s="4" t="s">
        <v>42</v>
      </c>
    </row>
    <row r="33" ht="15.75" customHeight="1">
      <c r="A33" s="2" t="str">
        <f t="shared" si="1"/>
        <v>1128</v>
      </c>
      <c r="B33" s="1" t="str">
        <f>IFERROR(__xludf.DUMMYFUNCTION("""COMPUTED_VALUE"""),"臓活サロンBless")</f>
        <v>臓活サロンBless</v>
      </c>
      <c r="C33" s="3" t="str">
        <f>IFERROR(__xludf.DUMMYFUNCTION("""COMPUTED_VALUE"""),"https://salonbless.com/")</f>
        <v>https://salonbless.com/</v>
      </c>
      <c r="D33" s="1" t="str">
        <f>IFERROR(__xludf.DUMMYFUNCTION("""COMPUTED_VALUE"""),"△")</f>
        <v>△</v>
      </c>
      <c r="E33" s="1" t="str">
        <f>IFERROR(__xludf.DUMMYFUNCTION("""COMPUTED_VALUE"""),"プライベートサロン, ストレス軽減（ブログ中心）")</f>
        <v>プライベートサロン, ストレス軽減（ブログ中心）</v>
      </c>
      <c r="F33" s="4" t="s">
        <v>43</v>
      </c>
    </row>
    <row r="34" ht="15.75" customHeight="1">
      <c r="A34" s="2" t="str">
        <f t="shared" si="1"/>
        <v>1129</v>
      </c>
      <c r="B34" s="1" t="str">
        <f>IFERROR(__xludf.DUMMYFUNCTION("""COMPUTED_VALUE"""),"コーチアプローチファシリテーター連盟（CAF連盟）")</f>
        <v>コーチアプローチファシリテーター連盟（CAF連盟）</v>
      </c>
      <c r="C34" s="3" t="str">
        <f>IFERROR(__xludf.DUMMYFUNCTION("""COMPUTED_VALUE"""),"https://hakatacaf1408.webnode.jp/")</f>
        <v>https://hakatacaf1408.webnode.jp/</v>
      </c>
      <c r="D34" s="1" t="str">
        <f>IFERROR(__xludf.DUMMYFUNCTION("""COMPUTED_VALUE"""),"△")</f>
        <v>△</v>
      </c>
      <c r="E34" s="1" t="str">
        <f>IFERROR(__xludf.DUMMYFUNCTION("""COMPUTED_VALUE"""),"個人エンパワーメント, ファシリテーション（Webnode）")</f>
        <v>個人エンパワーメント, ファシリテーション（Webnode）</v>
      </c>
      <c r="F34" s="4" t="s">
        <v>44</v>
      </c>
    </row>
    <row r="35" ht="15.75" customHeight="1">
      <c r="A35" s="2" t="str">
        <f t="shared" si="1"/>
        <v>1130</v>
      </c>
      <c r="B35" s="1" t="str">
        <f>IFERROR(__xludf.DUMMYFUNCTION("""COMPUTED_VALUE"""),"ウインドイーラヒーリング（東京・福岡）")</f>
        <v>ウインドイーラヒーリング（東京・福岡）</v>
      </c>
      <c r="C35" s="3" t="str">
        <f>IFERROR(__xludf.DUMMYFUNCTION("""COMPUTED_VALUE"""),"https://salalablog.exblog.jp/")</f>
        <v>https://salalablog.exblog.jp/</v>
      </c>
      <c r="D35" s="1" t="str">
        <f>IFERROR(__xludf.DUMMYFUNCTION("""COMPUTED_VALUE"""),"△")</f>
        <v>△</v>
      </c>
      <c r="E35" s="1" t="str">
        <f>IFERROR(__xludf.DUMMYFUNCTION("""COMPUTED_VALUE"""),"ヘッドスパスクール, サロンオーナー向け勉強会（ExBlog）")</f>
        <v>ヘッドスパスクール, サロンオーナー向け勉強会（ExBlog）</v>
      </c>
      <c r="F35" s="4" t="s">
        <v>45</v>
      </c>
    </row>
    <row r="36" ht="15.75" customHeight="1">
      <c r="A36" s="2" t="str">
        <f t="shared" si="1"/>
        <v>1131</v>
      </c>
      <c r="B36" s="1" t="str">
        <f>IFERROR(__xludf.DUMMYFUNCTION("""COMPUTED_VALUE"""),"小倉臨床心理相談室")</f>
        <v>小倉臨床心理相談室</v>
      </c>
      <c r="C36" s="3" t="str">
        <f>IFERROR(__xludf.DUMMYFUNCTION("""COMPUTED_VALUE"""),"https://kokurapsychanalyse.jpn.org/")</f>
        <v>https://kokurapsychanalyse.jpn.org/</v>
      </c>
      <c r="D36" s="1" t="str">
        <f>IFERROR(__xludf.DUMMYFUNCTION("""COMPUTED_VALUE"""),"△")</f>
        <v>△</v>
      </c>
      <c r="E36" s="1" t="str">
        <f>IFERROR(__xludf.DUMMYFUNCTION("""COMPUTED_VALUE"""),"精神分析とカウンセリング専門／完全予約制／基本情報のみ")</f>
        <v>精神分析とカウンセリング専門／完全予約制／基本情報のみ</v>
      </c>
      <c r="F36" s="4" t="s">
        <v>46</v>
      </c>
    </row>
    <row r="37" ht="15.75" customHeight="1">
      <c r="A37" s="2" t="str">
        <f t="shared" si="1"/>
        <v>1132</v>
      </c>
      <c r="B37" s="1" t="str">
        <f>IFERROR(__xludf.DUMMYFUNCTION("""COMPUTED_VALUE"""),"心理カウンセリング ほたる")</f>
        <v>心理カウンセリング ほたる</v>
      </c>
      <c r="C37" s="3" t="str">
        <f>IFERROR(__xludf.DUMMYFUNCTION("""COMPUTED_VALUE"""),"https://www.ekiten.jp/shop_40874162/")</f>
        <v>https://www.ekiten.jp/shop_40874162/</v>
      </c>
      <c r="D37" s="1" t="str">
        <f>IFERROR(__xludf.DUMMYFUNCTION("""COMPUTED_VALUE"""),"△")</f>
        <v>△</v>
      </c>
      <c r="E37" s="1" t="str">
        <f>IFERROR(__xludf.DUMMYFUNCTION("""COMPUTED_VALUE"""),"完全予約制／プライベート空間／ポータルサイト掲載のみ（エキテン）")</f>
        <v>完全予約制／プライベート空間／ポータルサイト掲載のみ（エキテン）</v>
      </c>
      <c r="F37" s="4" t="s">
        <v>47</v>
      </c>
    </row>
    <row r="38" ht="15.75" customHeight="1">
      <c r="A38" s="2" t="str">
        <f t="shared" si="1"/>
        <v>1133</v>
      </c>
      <c r="B38" s="1" t="str">
        <f>IFERROR(__xludf.DUMMYFUNCTION("""COMPUTED_VALUE"""),"こころリラクゼーションスペース Self-esteem（セルフ・エスティーム）")</f>
        <v>こころリラクゼーションスペース Self-esteem（セルフ・エスティーム）</v>
      </c>
      <c r="C38" s="3" t="str">
        <f>IFERROR(__xludf.DUMMYFUNCTION("""COMPUTED_VALUE"""),"https://reserva.be/selfesteem/about")</f>
        <v>https://reserva.be/selfesteem/about</v>
      </c>
      <c r="D38" s="1" t="str">
        <f>IFERROR(__xludf.DUMMYFUNCTION("""COMPUTED_VALUE"""),"△")</f>
        <v>△</v>
      </c>
      <c r="E38" s="1" t="str">
        <f>IFERROR(__xludf.DUMMYFUNCTION("""COMPUTED_VALUE"""),"完全予約制／予約システム利用（RESERVA）／予約サイト中心")</f>
        <v>完全予約制／予約システム利用（RESERVA）／予約サイト中心</v>
      </c>
      <c r="F38" s="4" t="s">
        <v>48</v>
      </c>
    </row>
    <row r="39" ht="15.75" customHeight="1">
      <c r="A39" s="2" t="str">
        <f t="shared" si="1"/>
        <v>1134</v>
      </c>
      <c r="B39" s="1" t="str">
        <f>IFERROR(__xludf.DUMMYFUNCTION("""COMPUTED_VALUE"""),"愛理の占い（プライベートサロン）")</f>
        <v>愛理の占い（プライベートサロン）</v>
      </c>
      <c r="C39" s="3" t="str">
        <f>IFERROR(__xludf.DUMMYFUNCTION("""COMPUTED_VALUE"""),"http://airinouranai.com/")</f>
        <v>http://airinouranai.com/</v>
      </c>
      <c r="D39" s="1" t="str">
        <f>IFERROR(__xludf.DUMMYFUNCTION("""COMPUTED_VALUE"""),"△")</f>
        <v>△</v>
      </c>
      <c r="E39" s="1" t="str">
        <f>IFERROR(__xludf.DUMMYFUNCTION("""COMPUTED_VALUE"""),"女性専用／完全予約制／プライベートサロン／基本情報のみ")</f>
        <v>女性専用／完全予約制／プライベートサロン／基本情報のみ</v>
      </c>
      <c r="F39" s="4" t="s">
        <v>49</v>
      </c>
    </row>
    <row r="40" ht="15.75" customHeight="1">
      <c r="A40" s="2" t="str">
        <f t="shared" si="1"/>
        <v>1135</v>
      </c>
      <c r="B40" s="1" t="str">
        <f>IFERROR(__xludf.DUMMYFUNCTION("""COMPUTED_VALUE"""),"占いサロン ロバのみみ")</f>
        <v>占いサロン ロバのみみ</v>
      </c>
      <c r="C40" s="3" t="str">
        <f>IFERROR(__xludf.DUMMYFUNCTION("""COMPUTED_VALUE"""),"http://uranai-robanomimi.com/")</f>
        <v>http://uranai-robanomimi.com/</v>
      </c>
      <c r="D40" s="1" t="str">
        <f>IFERROR(__xludf.DUMMYFUNCTION("""COMPUTED_VALUE"""),"△")</f>
        <v>△</v>
      </c>
      <c r="E40" s="1" t="str">
        <f>IFERROR(__xludf.DUMMYFUNCTION("""COMPUTED_VALUE"""),"四柱推命・手相・方位・姓名判断・東洋タロット／心理学融合／基本情報のみ")</f>
        <v>四柱推命・手相・方位・姓名判断・東洋タロット／心理学融合／基本情報のみ</v>
      </c>
      <c r="F40" s="4" t="s">
        <v>50</v>
      </c>
    </row>
    <row r="41" ht="15.75" customHeight="1">
      <c r="A41" s="2" t="str">
        <f t="shared" si="1"/>
        <v>1136</v>
      </c>
      <c r="B41" s="1" t="str">
        <f>IFERROR(__xludf.DUMMYFUNCTION("""COMPUTED_VALUE"""),"セラピストKOTOMIの占い＆心理")</f>
        <v>セラピストKOTOMIの占い＆心理</v>
      </c>
      <c r="C41" s="3" t="str">
        <f>IFERROR(__xludf.DUMMYFUNCTION("""COMPUTED_VALUE"""),"https://kty33.crayonsite.net/")</f>
        <v>https://kty33.crayonsite.net/</v>
      </c>
      <c r="D41" s="1" t="str">
        <f>IFERROR(__xludf.DUMMYFUNCTION("""COMPUTED_VALUE"""),"△")</f>
        <v>△</v>
      </c>
      <c r="E41" s="1" t="str">
        <f>IFERROR(__xludf.DUMMYFUNCTION("""COMPUTED_VALUE"""),"個人鑑定／占い・スピリチュアルカウンセリング・TCカラー／LINE予約／無料HP作成サービス（Crayon）")</f>
        <v>個人鑑定／占い・スピリチュアルカウンセリング・TCカラー／LINE予約／無料HP作成サービス（Crayon）</v>
      </c>
      <c r="F41" s="4" t="s">
        <v>51</v>
      </c>
    </row>
    <row r="42" ht="15.75" customHeight="1">
      <c r="A42" s="2" t="str">
        <f t="shared" si="1"/>
        <v>1137</v>
      </c>
      <c r="B42" s="1" t="str">
        <f>IFERROR(__xludf.DUMMYFUNCTION("""COMPUTED_VALUE"""),"北九州小倉スピリチュアル癒美座（イビザ）")</f>
        <v>北九州小倉スピリチュアル癒美座（イビザ）</v>
      </c>
      <c r="C42" s="3" t="str">
        <f>IFERROR(__xludf.DUMMYFUNCTION("""COMPUTED_VALUE"""),"https://spiritual-master.biz/")</f>
        <v>https://spiritual-master.biz/</v>
      </c>
      <c r="D42" s="1" t="str">
        <f>IFERROR(__xludf.DUMMYFUNCTION("""COMPUTED_VALUE"""),"△")</f>
        <v>△</v>
      </c>
      <c r="E42" s="1" t="str">
        <f>IFERROR(__xludf.DUMMYFUNCTION("""COMPUTED_VALUE"""),"美脳活性・色彩波動・遠隔ヒーリング・エネルギーワーク／基本情報のみ")</f>
        <v>美脳活性・色彩波動・遠隔ヒーリング・エネルギーワーク／基本情報のみ</v>
      </c>
      <c r="F42" s="4" t="s">
        <v>52</v>
      </c>
      <c r="L42" s="2">
        <v>1.0</v>
      </c>
    </row>
    <row r="43" ht="15.75" customHeight="1">
      <c r="A43" s="2" t="str">
        <f t="shared" si="1"/>
        <v>1138</v>
      </c>
      <c r="B43" s="1" t="str">
        <f>IFERROR(__xludf.DUMMYFUNCTION("""COMPUTED_VALUE"""),"Dear H（ディアエイチ）")</f>
        <v>Dear H（ディアエイチ）</v>
      </c>
      <c r="C43" s="3" t="str">
        <f>IFERROR(__xludf.DUMMYFUNCTION("""COMPUTED_VALUE"""),"https://www.dear-h.com/")</f>
        <v>https://www.dear-h.com/</v>
      </c>
      <c r="D43" s="1" t="str">
        <f>IFERROR(__xludf.DUMMYFUNCTION("""COMPUTED_VALUE"""),"△")</f>
        <v>△</v>
      </c>
      <c r="E43" s="1" t="str">
        <f>IFERROR(__xludf.DUMMYFUNCTION("""COMPUTED_VALUE"""),"リーディング・ヒーリング・ボディマッサージ／波動調整／基本情報のみ")</f>
        <v>リーディング・ヒーリング・ボディマッサージ／波動調整／基本情報のみ</v>
      </c>
      <c r="F43" s="4" t="s">
        <v>53</v>
      </c>
      <c r="L43" s="2">
        <v>1.0</v>
      </c>
    </row>
    <row r="44" ht="15.75" customHeight="1">
      <c r="A44" s="2" t="str">
        <f t="shared" si="1"/>
        <v>1139</v>
      </c>
      <c r="B44" s="1" t="str">
        <f>IFERROR(__xludf.DUMMYFUNCTION("""COMPUTED_VALUE"""),"アロマタッチサロン 繋")</f>
        <v>アロマタッチサロン 繋</v>
      </c>
      <c r="C44" s="3" t="str">
        <f>IFERROR(__xludf.DUMMYFUNCTION("""COMPUTED_VALUE"""),"https://aromatouch-tsunagu.crayonsite.info/")</f>
        <v>https://aromatouch-tsunagu.crayonsite.info/</v>
      </c>
      <c r="D44" s="1" t="str">
        <f>IFERROR(__xludf.DUMMYFUNCTION("""COMPUTED_VALUE"""),"△")</f>
        <v>△</v>
      </c>
      <c r="E44" s="1" t="str">
        <f>IFERROR(__xludf.DUMMYFUNCTION("""COMPUTED_VALUE"""),"一軒家サロン／1日4組まで／完全予約制／無料HP作成サービス（Crayon）")</f>
        <v>一軒家サロン／1日4組まで／完全予約制／無料HP作成サービス（Crayon）</v>
      </c>
      <c r="F44" s="4" t="s">
        <v>54</v>
      </c>
    </row>
    <row r="45" ht="15.75" customHeight="1">
      <c r="A45" s="2" t="str">
        <f t="shared" si="1"/>
        <v>1140</v>
      </c>
      <c r="B45" s="1" t="str">
        <f>IFERROR(__xludf.DUMMYFUNCTION("""COMPUTED_VALUE"""),"Body Care Salon 822")</f>
        <v>Body Care Salon 822</v>
      </c>
      <c r="C45" s="3" t="str">
        <f>IFERROR(__xludf.DUMMYFUNCTION("""COMPUTED_VALUE"""),"https://www.bodycaresalon-822.com/")</f>
        <v>https://www.bodycaresalon-822.com/</v>
      </c>
      <c r="D45" s="1" t="str">
        <f>IFERROR(__xludf.DUMMYFUNCTION("""COMPUTED_VALUE"""),"△")</f>
        <v>△</v>
      </c>
      <c r="E45" s="1" t="str">
        <f>IFERROR(__xludf.DUMMYFUNCTION("""COMPUTED_VALUE"""),"完全予約制／LINE対応／基本情報のみ")</f>
        <v>完全予約制／LINE対応／基本情報のみ</v>
      </c>
      <c r="F45" s="4" t="s">
        <v>55</v>
      </c>
    </row>
    <row r="46" ht="15.75" customHeight="1">
      <c r="A46" s="2" t="str">
        <f t="shared" si="1"/>
        <v>1141</v>
      </c>
      <c r="B46" s="1" t="str">
        <f>IFERROR(__xludf.DUMMYFUNCTION("""COMPUTED_VALUE"""),"ダイエットサロン スパイルソーレ")</f>
        <v>ダイエットサロン スパイルソーレ</v>
      </c>
      <c r="C46" s="3" t="str">
        <f>IFERROR(__xludf.DUMMYFUNCTION("""COMPUTED_VALUE"""),"https://clarayoga.net/yoga")</f>
        <v>https://clarayoga.net/yoga</v>
      </c>
      <c r="D46" s="1" t="str">
        <f>IFERROR(__xludf.DUMMYFUNCTION("""COMPUTED_VALUE"""),"△")</f>
        <v>△</v>
      </c>
      <c r="E46" s="1" t="str">
        <f>IFERROR(__xludf.DUMMYFUNCTION("""COMPUTED_VALUE"""),"マタニティヨガ・産後ヨガ・個人レッスン／基本情報のみ")</f>
        <v>マタニティヨガ・産後ヨガ・個人レッスン／基本情報のみ</v>
      </c>
      <c r="F46" s="4" t="s">
        <v>56</v>
      </c>
    </row>
    <row r="47" ht="15.75" customHeight="1">
      <c r="A47" s="2" t="str">
        <f t="shared" si="1"/>
        <v>1142</v>
      </c>
      <c r="B47" s="1" t="str">
        <f>IFERROR(__xludf.DUMMYFUNCTION("""COMPUTED_VALUE"""),"灯（ともしび）カウンセリング")</f>
        <v>灯（ともしび）カウンセリング</v>
      </c>
      <c r="C47" s="3" t="str">
        <f>IFERROR(__xludf.DUMMYFUNCTION("""COMPUTED_VALUE"""),"https://tomoshibi-room.jimdosite.com/")</f>
        <v>https://tomoshibi-room.jimdosite.com/</v>
      </c>
      <c r="D47" s="1" t="str">
        <f>IFERROR(__xludf.DUMMYFUNCTION("""COMPUTED_VALUE"""),"△")</f>
        <v>△</v>
      </c>
      <c r="E47" s="1" t="str">
        <f>IFERROR(__xludf.DUMMYFUNCTION("""COMPUTED_VALUE"""),"Jimdoサイト／完全予約制／カウンセリング専門／代表:山口敏晃／初回50分8,800円／月-金10:00-20:00・土日10:00-17:00")</f>
        <v>Jimdoサイト／完全予約制／カウンセリング専門／代表:山口敏晃／初回50分8,800円／月-金10:00-20:00・土日10:00-17:00</v>
      </c>
      <c r="F47" s="4" t="s">
        <v>57</v>
      </c>
    </row>
    <row r="48" ht="15.75" customHeight="1">
      <c r="A48" s="2" t="str">
        <f t="shared" si="1"/>
        <v>1143</v>
      </c>
      <c r="B48" s="1" t="str">
        <f>IFERROR(__xludf.DUMMYFUNCTION("""COMPUTED_VALUE"""),"岡野式神気ヒーリングサロン")</f>
        <v>岡野式神気ヒーリングサロン</v>
      </c>
      <c r="C48" s="3" t="str">
        <f>IFERROR(__xludf.DUMMYFUNCTION("""COMPUTED_VALUE"""),"https://shinki-healing.com/")</f>
        <v>https://shinki-healing.com/</v>
      </c>
      <c r="D48" s="1" t="str">
        <f>IFERROR(__xludf.DUMMYFUNCTION("""COMPUTED_VALUE"""),"△")</f>
        <v>△</v>
      </c>
      <c r="E48" s="1" t="str">
        <f>IFERROR(__xludf.DUMMYFUNCTION("""COMPUTED_VALUE"""),"ヒーリング／除霊／霊視／占い／スピリチュアル／15分3,000円〜")</f>
        <v>ヒーリング／除霊／霊視／占い／スピリチュアル／15分3,000円〜</v>
      </c>
      <c r="F48" s="4" t="s">
        <v>58</v>
      </c>
      <c r="L48" s="2">
        <v>1.0</v>
      </c>
    </row>
    <row r="49" ht="15.75" customHeight="1">
      <c r="A49" s="2" t="str">
        <f t="shared" si="1"/>
        <v>1144</v>
      </c>
      <c r="B49" s="1" t="str">
        <f>IFERROR(__xludf.DUMMYFUNCTION("""COMPUTED_VALUE"""),"あいのわアロマ&amp;ヒーリングスペース")</f>
        <v>あいのわアロマ&amp;ヒーリングスペース</v>
      </c>
      <c r="C49" s="3" t="str">
        <f>IFERROR(__xludf.DUMMYFUNCTION("""COMPUTED_VALUE"""),"https://www.ainowaaroma.com/")</f>
        <v>https://www.ainowaaroma.com/</v>
      </c>
      <c r="D49" s="1" t="str">
        <f>IFERROR(__xludf.DUMMYFUNCTION("""COMPUTED_VALUE"""),"△")</f>
        <v>△</v>
      </c>
      <c r="E49" s="1" t="str">
        <f>IFERROR(__xludf.DUMMYFUNCTION("""COMPUTED_VALUE"""),"アロマセラピー／レイキヒーリング／会員制（入会金11,000円・年会費3,300円）")</f>
        <v>アロマセラピー／レイキヒーリング／会員制（入会金11,000円・年会費3,300円）</v>
      </c>
      <c r="F49" s="4" t="s">
        <v>59</v>
      </c>
      <c r="L49" s="2">
        <v>1.0</v>
      </c>
    </row>
    <row r="50" ht="15.75" customHeight="1">
      <c r="A50" s="2" t="str">
        <f t="shared" si="1"/>
        <v>1145</v>
      </c>
      <c r="B50" s="1" t="str">
        <f>IFERROR(__xludf.DUMMYFUNCTION("""COMPUTED_VALUE"""),"ソフィア（大牟田市）")</f>
        <v>ソフィア（大牟田市）</v>
      </c>
      <c r="C50" s="3" t="str">
        <f>IFERROR(__xludf.DUMMYFUNCTION("""COMPUTED_VALUE"""),"https://www.sophia-omuta.com/")</f>
        <v>https://www.sophia-omuta.com/</v>
      </c>
      <c r="D50" s="1" t="str">
        <f>IFERROR(__xludf.DUMMYFUNCTION("""COMPUTED_VALUE"""),"△")</f>
        <v>△</v>
      </c>
      <c r="E50" s="1" t="str">
        <f>IFERROR(__xludf.DUMMYFUNCTION("""COMPUTED_VALUE"""),"カウンセリング／心理検査／予約制")</f>
        <v>カウンセリング／心理検査／予約制</v>
      </c>
      <c r="F50" s="4" t="s">
        <v>60</v>
      </c>
    </row>
    <row r="51" ht="15.75" customHeight="1">
      <c r="A51" s="2" t="str">
        <f t="shared" si="1"/>
        <v>1146</v>
      </c>
      <c r="B51" s="1" t="str">
        <f>IFERROR(__xludf.DUMMYFUNCTION("""COMPUTED_VALUE"""),"Medical Salon K.STELLA")</f>
        <v>Medical Salon K.STELLA</v>
      </c>
      <c r="C51" s="3" t="str">
        <f>IFERROR(__xludf.DUMMYFUNCTION("""COMPUTED_VALUE"""),"https://beauty.hotpepper.jp/kr/slnH000558273/")</f>
        <v>https://beauty.hotpepper.jp/kr/slnH000558273/</v>
      </c>
      <c r="D51" s="1" t="str">
        <f>IFERROR(__xludf.DUMMYFUNCTION("""COMPUTED_VALUE"""),"△")</f>
        <v>△</v>
      </c>
      <c r="E51" s="1" t="str">
        <f>IFERROR(__xludf.DUMMYFUNCTION("""COMPUTED_VALUE"""),"脳内エステ／完全予約制／10:00-20:00")</f>
        <v>脳内エステ／完全予約制／10:00-20:00</v>
      </c>
      <c r="F51" s="4" t="s">
        <v>61</v>
      </c>
      <c r="N51" s="2" t="s">
        <v>35</v>
      </c>
    </row>
    <row r="52" ht="15.75" customHeight="1">
      <c r="A52" s="2" t="str">
        <f t="shared" si="1"/>
        <v>1147</v>
      </c>
      <c r="B52" s="1" t="str">
        <f>IFERROR(__xludf.DUMMYFUNCTION("""COMPUTED_VALUE"""),"こころの相談センター")</f>
        <v>こころの相談センター</v>
      </c>
      <c r="C52" s="3" t="str">
        <f>IFERROR(__xludf.DUMMYFUNCTION("""COMPUTED_VALUE"""),"https://my-best.com/18277")</f>
        <v>https://my-best.com/18277</v>
      </c>
      <c r="D52" s="1" t="str">
        <f>IFERROR(__xludf.DUMMYFUNCTION("""COMPUTED_VALUE"""),"△")</f>
        <v>△</v>
      </c>
      <c r="E52" s="1" t="str">
        <f>IFERROR(__xludf.DUMMYFUNCTION("""COMPUTED_VALUE"""),"無料電話相談可（記載）／完全予約制／個人初回5,500円・ペア初回8,800円／土10:00-19:00・日10:00-16:00")</f>
        <v>無料電話相談可（記載）／完全予約制／個人初回5,500円・ペア初回8,800円／土10:00-19:00・日10:00-16:00</v>
      </c>
      <c r="F52" s="4" t="s">
        <v>62</v>
      </c>
    </row>
    <row r="53" ht="15.75" customHeight="1">
      <c r="A53" s="2" t="str">
        <f t="shared" si="1"/>
        <v>1148</v>
      </c>
      <c r="B53" s="1" t="str">
        <f>IFERROR(__xludf.DUMMYFUNCTION("""COMPUTED_VALUE"""),"ゆうメンタルクリニック")</f>
        <v>ゆうメンタルクリニック</v>
      </c>
      <c r="C53" s="3" t="str">
        <f>IFERROR(__xludf.DUMMYFUNCTION("""COMPUTED_VALUE"""),"https://www.yu-mentalclinic.com/")</f>
        <v>https://www.yu-mentalclinic.com/</v>
      </c>
      <c r="D53" s="1" t="str">
        <f>IFERROR(__xludf.DUMMYFUNCTION("""COMPUTED_VALUE"""),"△")</f>
        <v>△</v>
      </c>
      <c r="E53" s="1" t="str">
        <f>IFERROR(__xludf.DUMMYFUNCTION("""COMPUTED_VALUE"""),"心療内科／精神科／カウンセリング重視（記載）")</f>
        <v>心療内科／精神科／カウンセリング重視（記載）</v>
      </c>
      <c r="F53" s="4" t="s">
        <v>63</v>
      </c>
    </row>
    <row r="54" ht="15.75" customHeight="1">
      <c r="A54" s="2" t="str">
        <f t="shared" si="1"/>
        <v>1149</v>
      </c>
      <c r="B54" s="1" t="str">
        <f>IFERROR(__xludf.DUMMYFUNCTION("""COMPUTED_VALUE"""),"みなもいとしま（学習支援）")</f>
        <v>みなもいとしま（学習支援）</v>
      </c>
      <c r="C54" s="3" t="str">
        <f>IFERROR(__xludf.DUMMYFUNCTION("""COMPUTED_VALUE"""),"https://www.minamoitoshima.com/counseling")</f>
        <v>https://www.minamoitoshima.com/counseling</v>
      </c>
      <c r="D54" s="1" t="str">
        <f>IFERROR(__xludf.DUMMYFUNCTION("""COMPUTED_VALUE"""),"△")</f>
        <v>△</v>
      </c>
      <c r="E54" s="1" t="str">
        <f>IFERROR(__xludf.DUMMYFUNCTION("""COMPUTED_VALUE"""),"個別相談／カウンセリング／完全予約制")</f>
        <v>個別相談／カウンセリング／完全予約制</v>
      </c>
      <c r="F54" s="4" t="s">
        <v>64</v>
      </c>
    </row>
    <row r="55" ht="15.75" customHeight="1">
      <c r="A55" s="2" t="str">
        <f t="shared" si="1"/>
        <v>1150</v>
      </c>
      <c r="B55" s="1" t="str">
        <f>IFERROR(__xludf.DUMMYFUNCTION("""COMPUTED_VALUE"""),"リトリートサロンいらよい")</f>
        <v>リトリートサロンいらよい</v>
      </c>
      <c r="C55" s="3" t="str">
        <f>IFERROR(__xludf.DUMMYFUNCTION("""COMPUTED_VALUE"""),"https://irayoi.com/voice")</f>
        <v>https://irayoi.com/voice</v>
      </c>
      <c r="D55" s="1" t="str">
        <f>IFERROR(__xludf.DUMMYFUNCTION("""COMPUTED_VALUE"""),"△")</f>
        <v>△</v>
      </c>
      <c r="E55" s="1" t="str">
        <f>IFERROR(__xludf.DUMMYFUNCTION("""COMPUTED_VALUE"""),"マッサージ／傾聴／セラピー")</f>
        <v>マッサージ／傾聴／セラピー</v>
      </c>
      <c r="F55" s="4" t="s">
        <v>65</v>
      </c>
      <c r="O55" s="5">
        <v>46297.0</v>
      </c>
    </row>
    <row r="56" ht="15.75" customHeight="1">
      <c r="A56" s="2" t="str">
        <f t="shared" si="1"/>
        <v>1151</v>
      </c>
      <c r="B56" s="1" t="str">
        <f>IFERROR(__xludf.DUMMYFUNCTION("""COMPUTED_VALUE"""),"いとすき（傾聴力アップ講座）")</f>
        <v>いとすき（傾聴力アップ講座）</v>
      </c>
      <c r="C56" s="3" t="str">
        <f>IFERROR(__xludf.DUMMYFUNCTION("""COMPUTED_VALUE"""),"https://itosuki.jimdofree.com/")</f>
        <v>https://itosuki.jimdofree.com/</v>
      </c>
      <c r="D56" s="1" t="str">
        <f>IFERROR(__xludf.DUMMYFUNCTION("""COMPUTED_VALUE"""),"△")</f>
        <v>△</v>
      </c>
      <c r="E56" s="1" t="str">
        <f>IFERROR(__xludf.DUMMYFUNCTION("""COMPUTED_VALUE"""),"傾聴力講座／完全予約制")</f>
        <v>傾聴力講座／完全予約制</v>
      </c>
      <c r="F56" s="4" t="s">
        <v>66</v>
      </c>
    </row>
    <row r="57" ht="15.75" customHeight="1">
      <c r="A57" s="2" t="str">
        <f t="shared" si="1"/>
        <v>1152</v>
      </c>
      <c r="B57" s="1" t="str">
        <f>IFERROR(__xludf.DUMMYFUNCTION("""COMPUTED_VALUE"""),"salon結(yui)")</f>
        <v>salon結(yui)</v>
      </c>
      <c r="C57" s="3" t="str">
        <f>IFERROR(__xludf.DUMMYFUNCTION("""COMPUTED_VALUE"""),"https://beauty.hotpepper.jp/kr/slnH000752909/")</f>
        <v>https://beauty.hotpepper.jp/kr/slnH000752909/</v>
      </c>
      <c r="D57" s="1" t="str">
        <f>IFERROR(__xludf.DUMMYFUNCTION("""COMPUTED_VALUE"""),"△")</f>
        <v>△</v>
      </c>
      <c r="E57" s="1" t="str">
        <f>IFERROR(__xludf.DUMMYFUNCTION("""COMPUTED_VALUE"""),"完全予約制／10:00-20:00（最終受付18:00）")</f>
        <v>完全予約制／10:00-20:00（最終受付18:00）</v>
      </c>
      <c r="F57" s="4" t="s">
        <v>67</v>
      </c>
    </row>
    <row r="58" ht="15.75" customHeight="1">
      <c r="A58" s="2" t="str">
        <f t="shared" si="1"/>
        <v>1153</v>
      </c>
      <c r="B58" s="1" t="str">
        <f>IFERROR(__xludf.DUMMYFUNCTION("""COMPUTED_VALUE"""),"ココリセ（Cocorise）")</f>
        <v>ココリセ（Cocorise）</v>
      </c>
      <c r="C58" s="3" t="str">
        <f>IFERROR(__xludf.DUMMYFUNCTION("""COMPUTED_VALUE"""),"https://www.cocorise.com/about/")</f>
        <v>https://www.cocorise.com/about/</v>
      </c>
      <c r="D58" s="1" t="str">
        <f>IFERROR(__xludf.DUMMYFUNCTION("""COMPUTED_VALUE"""),"△")</f>
        <v>△</v>
      </c>
      <c r="E58" s="1" t="str">
        <f>IFERROR(__xludf.DUMMYFUNCTION("""COMPUTED_VALUE"""),"カウンセリング／セラピー／完全予約制／10:00-21:00（記載）")</f>
        <v>カウンセリング／セラピー／完全予約制／10:00-21:00（記載）</v>
      </c>
      <c r="F58" s="4" t="s">
        <v>68</v>
      </c>
    </row>
    <row r="59" ht="15.75" customHeight="1">
      <c r="A59" s="2" t="str">
        <f t="shared" si="1"/>
        <v>1154</v>
      </c>
      <c r="B59" s="1" t="str">
        <f>IFERROR(__xludf.DUMMYFUNCTION("""COMPUTED_VALUE"""),"福岡県の夫婦カウンセリング（Tially）")</f>
        <v>福岡県の夫婦カウンセリング（Tially）</v>
      </c>
      <c r="C59" s="3" t="str">
        <f>IFERROR(__xludf.DUMMYFUNCTION("""COMPUTED_VALUE"""),"https://www.tially.jp/fukuoka/")</f>
        <v>https://www.tially.jp/fukuoka/</v>
      </c>
      <c r="D59" s="1" t="str">
        <f>IFERROR(__xludf.DUMMYFUNCTION("""COMPUTED_VALUE"""),"△")</f>
        <v>△</v>
      </c>
      <c r="E59" s="1" t="str">
        <f>IFERROR(__xludf.DUMMYFUNCTION("""COMPUTED_VALUE"""),"夫婦カウンセリング／完全予約制")</f>
        <v>夫婦カウンセリング／完全予約制</v>
      </c>
      <c r="F59" s="4" t="s">
        <v>69</v>
      </c>
    </row>
    <row r="60" ht="15.75" customHeight="1">
      <c r="A60" s="2" t="str">
        <f t="shared" si="1"/>
        <v>1155</v>
      </c>
      <c r="B60" s="1" t="str">
        <f>IFERROR(__xludf.DUMMYFUNCTION("""COMPUTED_VALUE"""),"ココロパートナーズ")</f>
        <v>ココロパートナーズ</v>
      </c>
      <c r="C60" s="3" t="str">
        <f>IFERROR(__xludf.DUMMYFUNCTION("""COMPUTED_VALUE"""),"https://cocoro-pt.com/")</f>
        <v>https://cocoro-pt.com/</v>
      </c>
      <c r="D60" s="1" t="str">
        <f>IFERROR(__xludf.DUMMYFUNCTION("""COMPUTED_VALUE"""),"△")</f>
        <v>△</v>
      </c>
      <c r="E60" s="1" t="str">
        <f>IFERROR(__xludf.DUMMYFUNCTION("""COMPUTED_VALUE"""),"カウンセリング／カップルカウンセリング／オンライン対応／50分3,850円")</f>
        <v>カウンセリング／カップルカウンセリング／オンライン対応／50分3,850円</v>
      </c>
      <c r="F60" s="4" t="s">
        <v>70</v>
      </c>
    </row>
    <row r="61" ht="15.75" customHeight="1">
      <c r="A61" s="2" t="str">
        <f t="shared" si="1"/>
        <v>1156</v>
      </c>
      <c r="B61" s="1" t="str">
        <f>IFERROR(__xludf.DUMMYFUNCTION("""COMPUTED_VALUE"""),"トータルリラクゼーションサロン Spiritum")</f>
        <v>トータルリラクゼーションサロン Spiritum</v>
      </c>
      <c r="C61" s="3" t="str">
        <f>IFERROR(__xludf.DUMMYFUNCTION("""COMPUTED_VALUE"""),"https://spiritum-minako.wixsite.com/spiritum")</f>
        <v>https://spiritum-minako.wixsite.com/spiritum</v>
      </c>
      <c r="D61" s="1" t="str">
        <f>IFERROR(__xludf.DUMMYFUNCTION("""COMPUTED_VALUE"""),"△")</f>
        <v>△</v>
      </c>
      <c r="E61" s="1" t="str">
        <f>IFERROR(__xludf.DUMMYFUNCTION("""COMPUTED_VALUE"""),"Wixドメインかつ個人運営の完全予約制サロンのため")</f>
        <v>Wixドメインかつ個人運営の完全予約制サロンのため</v>
      </c>
      <c r="F61" s="4" t="s">
        <v>71</v>
      </c>
    </row>
    <row r="62" ht="15.75" customHeight="1">
      <c r="A62" s="2" t="str">
        <f t="shared" si="1"/>
        <v>1157</v>
      </c>
      <c r="B62" s="1" t="str">
        <f>IFERROR(__xludf.DUMMYFUNCTION("""COMPUTED_VALUE"""),"六本松心理教育臨床オフィス")</f>
        <v>六本松心理教育臨床オフィス</v>
      </c>
      <c r="C62" s="3" t="str">
        <f>IFERROR(__xludf.DUMMYFUNCTION("""COMPUTED_VALUE"""),"https://ropponmatsucounsel.wixsite.com/fukuoka")</f>
        <v>https://ropponmatsucounsel.wixsite.com/fukuoka</v>
      </c>
      <c r="D62" s="1" t="str">
        <f>IFERROR(__xludf.DUMMYFUNCTION("""COMPUTED_VALUE"""),"△")</f>
        <v>△</v>
      </c>
      <c r="E62" s="1" t="str">
        <f>IFERROR(__xludf.DUMMYFUNCTION("""COMPUTED_VALUE"""),"Wixドメインで運営される地域密着型の小規模相談室のため")</f>
        <v>Wixドメインで運営される地域密着型の小規模相談室のため</v>
      </c>
      <c r="F62" s="4" t="s">
        <v>72</v>
      </c>
    </row>
    <row r="63" ht="15.75" customHeight="1">
      <c r="A63" s="2" t="str">
        <f t="shared" si="1"/>
        <v>1158</v>
      </c>
      <c r="B63" s="1" t="str">
        <f>IFERROR(__xludf.DUMMYFUNCTION("""COMPUTED_VALUE"""),"フェムケア spa salon NicoL")</f>
        <v>フェムケア spa salon NicoL</v>
      </c>
      <c r="C63" s="3" t="str">
        <f>IFERROR(__xludf.DUMMYFUNCTION("""COMPUTED_VALUE"""),"https://umy1723.wixsite.com/tennjin-nico")</f>
        <v>https://umy1723.wixsite.com/tennjin-nico</v>
      </c>
      <c r="D63" s="1" t="str">
        <f>IFERROR(__xludf.DUMMYFUNCTION("""COMPUTED_VALUE"""),"△")</f>
        <v>△</v>
      </c>
      <c r="E63" s="1" t="str">
        <f>IFERROR(__xludf.DUMMYFUNCTION("""COMPUTED_VALUE"""),"Wixドメインの個人プライベートサロンで妊活カウンセリング等を提供しているため")</f>
        <v>Wixドメインの個人プライベートサロンで妊活カウンセリング等を提供しているため</v>
      </c>
      <c r="F63" s="4" t="s">
        <v>73</v>
      </c>
    </row>
    <row r="64" ht="15.75" customHeight="1">
      <c r="A64" s="2" t="str">
        <f t="shared" si="1"/>
        <v>1159</v>
      </c>
      <c r="B64" s="1" t="str">
        <f>IFERROR(__xludf.DUMMYFUNCTION("""COMPUTED_VALUE"""),"ハートケアカウンセラー時枝正和")</f>
        <v>ハートケアカウンセラー時枝正和</v>
      </c>
      <c r="C64" s="3" t="str">
        <f>IFERROR(__xludf.DUMMYFUNCTION("""COMPUTED_VALUE"""),"https://heartcare-tokieda.wixsite.com/tokieda")</f>
        <v>https://heartcare-tokieda.wixsite.com/tokieda</v>
      </c>
      <c r="D64" s="1" t="str">
        <f>IFERROR(__xludf.DUMMYFUNCTION("""COMPUTED_VALUE"""),"△")</f>
        <v>△</v>
      </c>
      <c r="E64" s="1" t="str">
        <f>IFERROR(__xludf.DUMMYFUNCTION("""COMPUTED_VALUE"""),"Wixドメインの個人カウンセリングルームで対面セッション中心のため")</f>
        <v>Wixドメインの個人カウンセリングルームで対面セッション中心のため</v>
      </c>
      <c r="F64" s="4" t="s">
        <v>74</v>
      </c>
    </row>
    <row r="65" ht="15.75" customHeight="1">
      <c r="A65" s="2" t="str">
        <f t="shared" si="1"/>
        <v>1160</v>
      </c>
      <c r="B65" s="1" t="str">
        <f>IFERROR(__xludf.DUMMYFUNCTION("""COMPUTED_VALUE"""),"伊都ココロの小部屋")</f>
        <v>伊都ココロの小部屋</v>
      </c>
      <c r="C65" s="3" t="str">
        <f>IFERROR(__xludf.DUMMYFUNCTION("""COMPUTED_VALUE"""),"https://kokoro-kobeya.jimdofree.com/")</f>
        <v>https://kokoro-kobeya.jimdofree.com/</v>
      </c>
      <c r="D65" s="1" t="str">
        <f>IFERROR(__xludf.DUMMYFUNCTION("""COMPUTED_VALUE"""),"△")</f>
        <v>△</v>
      </c>
      <c r="E65" s="1" t="str">
        <f>IFERROR(__xludf.DUMMYFUNCTION("""COMPUTED_VALUE"""),"Jimdoドメインの女性専用個人カウンセリングルームのため")</f>
        <v>Jimdoドメインの女性専用個人カウンセリングルームのため</v>
      </c>
      <c r="F65" s="4" t="s">
        <v>75</v>
      </c>
    </row>
    <row r="66" ht="15.75" customHeight="1">
      <c r="A66" s="2" t="str">
        <f t="shared" si="1"/>
        <v>1161</v>
      </c>
      <c r="B66" s="1" t="str">
        <f>IFERROR(__xludf.DUMMYFUNCTION("""COMPUTED_VALUE"""),"ナチュラルビューティースクール福岡（インナーチャイルドセラピー）")</f>
        <v>ナチュラルビューティースクール福岡（インナーチャイルドセラピー）</v>
      </c>
      <c r="C66" s="3" t="str">
        <f>IFERROR(__xludf.DUMMYFUNCTION("""COMPUTED_VALUE"""),"https://nljun.jimdofree.com/")</f>
        <v>https://nljun.jimdofree.com/</v>
      </c>
      <c r="D66" s="1" t="str">
        <f>IFERROR(__xludf.DUMMYFUNCTION("""COMPUTED_VALUE"""),"△")</f>
        <v>△</v>
      </c>
      <c r="E66" s="1" t="str">
        <f>IFERROR(__xludf.DUMMYFUNCTION("""COMPUTED_VALUE"""),"Jimdoドメインの個人プライベートサロンで心理セラピー提供のため")</f>
        <v>Jimdoドメインの個人プライベートサロンで心理セラピー提供のため</v>
      </c>
      <c r="F66" s="4" t="s">
        <v>76</v>
      </c>
    </row>
    <row r="67" ht="15.75" customHeight="1">
      <c r="A67" s="2" t="str">
        <f t="shared" si="1"/>
        <v>1162</v>
      </c>
      <c r="B67" s="1" t="str">
        <f>IFERROR(__xludf.DUMMYFUNCTION("""COMPUTED_VALUE"""),"Go-Body")</f>
        <v>Go-Body</v>
      </c>
      <c r="C67" s="3" t="str">
        <f>IFERROR(__xludf.DUMMYFUNCTION("""COMPUTED_VALUE"""),"https://gobodyfukuoka.wixsite.com/website")</f>
        <v>https://gobodyfukuoka.wixsite.com/website</v>
      </c>
      <c r="D67" s="1" t="str">
        <f>IFERROR(__xludf.DUMMYFUNCTION("""COMPUTED_VALUE"""),"△")</f>
        <v>△</v>
      </c>
      <c r="E67" s="1" t="str">
        <f>IFERROR(__xludf.DUMMYFUNCTION("""COMPUTED_VALUE"""),"Wixドメインの福岡天神にある完全個室パーソナルトレーニングジムのため")</f>
        <v>Wixドメインの福岡天神にある完全個室パーソナルトレーニングジムのため</v>
      </c>
      <c r="F67" s="4" t="s">
        <v>77</v>
      </c>
    </row>
    <row r="68" ht="15.75" customHeight="1">
      <c r="A68" s="2" t="str">
        <f t="shared" si="1"/>
        <v>1163</v>
      </c>
      <c r="B68" s="1" t="str">
        <f>IFERROR(__xludf.DUMMYFUNCTION("""COMPUTED_VALUE"""),"桜坂のプライベートヨガ空間 mokuyoga")</f>
        <v>桜坂のプライベートヨガ空間 mokuyoga</v>
      </c>
      <c r="C68" s="3" t="str">
        <f>IFERROR(__xludf.DUMMYFUNCTION("""COMPUTED_VALUE"""),"https://mokuyoga.jimdofree.com/")</f>
        <v>https://mokuyoga.jimdofree.com/</v>
      </c>
      <c r="D68" s="1" t="str">
        <f>IFERROR(__xludf.DUMMYFUNCTION("""COMPUTED_VALUE"""),"△")</f>
        <v>△</v>
      </c>
      <c r="E68" s="1" t="str">
        <f>IFERROR(__xludf.DUMMYFUNCTION("""COMPUTED_VALUE"""),"Jimdoドメインの福岡市中央区にあるプライベートヨガスタジオのため")</f>
        <v>Jimdoドメインの福岡市中央区にあるプライベートヨガスタジオのため</v>
      </c>
      <c r="F68" s="4" t="s">
        <v>78</v>
      </c>
    </row>
    <row r="69" ht="15.75" customHeight="1">
      <c r="A69" s="2" t="str">
        <f t="shared" si="1"/>
        <v>1164</v>
      </c>
      <c r="B69" s="1" t="str">
        <f>IFERROR(__xludf.DUMMYFUNCTION("""COMPUTED_VALUE"""),"整体善")</f>
        <v>整体善</v>
      </c>
      <c r="C69" s="3" t="str">
        <f>IFERROR(__xludf.DUMMYFUNCTION("""COMPUTED_VALUE"""),"https://zen.hp.peraichi.com/dietfukuoka/")</f>
        <v>https://zen.hp.peraichi.com/dietfukuoka/</v>
      </c>
      <c r="D69" s="1" t="str">
        <f>IFERROR(__xludf.DUMMYFUNCTION("""COMPUTED_VALUE"""),"△")</f>
        <v>△</v>
      </c>
      <c r="E69" s="1" t="str">
        <f>IFERROR(__xludf.DUMMYFUNCTION("""COMPUTED_VALUE"""),"ペライチドメインの個人運営マンツーマンダイエット整体のため")</f>
        <v>ペライチドメインの個人運営マンツーマンダイエット整体のため</v>
      </c>
      <c r="F69" s="4" t="s">
        <v>79</v>
      </c>
    </row>
    <row r="70" ht="15.75" customHeight="1">
      <c r="A70" s="2" t="str">
        <f t="shared" si="1"/>
        <v>1165</v>
      </c>
      <c r="B70" s="1" t="str">
        <f>IFERROR(__xludf.DUMMYFUNCTION("""COMPUTED_VALUE"""),"ピラティススタジオ 3WATT")</f>
        <v>ピラティススタジオ 3WATT</v>
      </c>
      <c r="C70" s="3" t="str">
        <f>IFERROR(__xludf.DUMMYFUNCTION("""COMPUTED_VALUE"""),"https://service-dmc.wixsite.com/my-site-12432")</f>
        <v>https://service-dmc.wixsite.com/my-site-12432</v>
      </c>
      <c r="D70" s="1" t="str">
        <f>IFERROR(__xludf.DUMMYFUNCTION("""COMPUTED_VALUE"""),"△")</f>
        <v>△</v>
      </c>
      <c r="E70" s="1" t="str">
        <f>IFERROR(__xludf.DUMMYFUNCTION("""COMPUTED_VALUE"""),"Wixドメインの博多区にある少人数・プライベート制ピラティススタジオのため")</f>
        <v>Wixドメインの博多区にある少人数・プライベート制ピラティススタジオのため</v>
      </c>
      <c r="F70" s="4" t="s">
        <v>80</v>
      </c>
    </row>
    <row r="71" ht="15.75" customHeight="1">
      <c r="A71" s="2" t="str">
        <f t="shared" si="1"/>
        <v>1166</v>
      </c>
      <c r="B71" s="1" t="str">
        <f>IFERROR(__xludf.DUMMYFUNCTION("""COMPUTED_VALUE"""),"いきまつ整体院")</f>
        <v>いきまつ整体院</v>
      </c>
      <c r="C71" s="3" t="str">
        <f>IFERROR(__xludf.DUMMYFUNCTION("""COMPUTED_VALUE"""),"https://ikimatuseitai.jimdofree.com/")</f>
        <v>https://ikimatuseitai.jimdofree.com/</v>
      </c>
      <c r="D71" s="1" t="str">
        <f>IFERROR(__xludf.DUMMYFUNCTION("""COMPUTED_VALUE"""),"△")</f>
        <v>△</v>
      </c>
      <c r="E71" s="1" t="str">
        <f>IFERROR(__xludf.DUMMYFUNCTION("""COMPUTED_VALUE"""),"Jimdoドメインの福岡市西区にある個人運営の整体院のため")</f>
        <v>Jimdoドメインの福岡市西区にある個人運営の整体院のため</v>
      </c>
      <c r="F71" s="4" t="s">
        <v>81</v>
      </c>
    </row>
    <row r="72" ht="15.75" customHeight="1">
      <c r="A72" s="2" t="str">
        <f t="shared" si="1"/>
        <v>1167</v>
      </c>
      <c r="B72" s="1" t="str">
        <f>IFERROR(__xludf.DUMMYFUNCTION("""COMPUTED_VALUE"""),"自ら整えるピラティス（SAYAO）")</f>
        <v>自ら整えるピラティス（SAYAO）</v>
      </c>
      <c r="C72" s="3" t="str">
        <f>IFERROR(__xludf.DUMMYFUNCTION("""COMPUTED_VALUE"""),"https://peraichi.com/landing_pages/view/pr380")</f>
        <v>https://peraichi.com/landing_pages/view/pr380</v>
      </c>
      <c r="D72" s="1" t="str">
        <f>IFERROR(__xludf.DUMMYFUNCTION("""COMPUTED_VALUE"""),"△")</f>
        <v>△</v>
      </c>
      <c r="E72" s="1" t="str">
        <f>IFERROR(__xludf.DUMMYFUNCTION("""COMPUTED_VALUE"""),"ペライチドメインの福岡市南区にある個人レッスン主体のピラティス教室のため")</f>
        <v>ペライチドメインの福岡市南区にある個人レッスン主体のピラティス教室のため</v>
      </c>
      <c r="F72" s="4" t="s">
        <v>82</v>
      </c>
    </row>
    <row r="73" ht="15.75" customHeight="1">
      <c r="A73" s="2" t="str">
        <f t="shared" si="1"/>
        <v>1168</v>
      </c>
      <c r="B73" s="1" t="str">
        <f>IFERROR(__xludf.DUMMYFUNCTION("""COMPUTED_VALUE"""),"からだバランスHiyori")</f>
        <v>からだバランスHiyori</v>
      </c>
      <c r="C73" s="3" t="str">
        <f>IFERROR(__xludf.DUMMYFUNCTION("""COMPUTED_VALUE"""),"https://toukimushi.hp.peraichi.com/")</f>
        <v>https://toukimushi.hp.peraichi.com/</v>
      </c>
      <c r="D73" s="1" t="str">
        <f>IFERROR(__xludf.DUMMYFUNCTION("""COMPUTED_VALUE"""),"△")</f>
        <v>△</v>
      </c>
      <c r="E73" s="1" t="str">
        <f>IFERROR(__xludf.DUMMYFUNCTION("""COMPUTED_VALUE"""),"ペライチドメインの福岡市東区にある個人運営の当帰葉蒸し・ハーブテントサロンのため")</f>
        <v>ペライチドメインの福岡市東区にある個人運営の当帰葉蒸し・ハーブテントサロンのため</v>
      </c>
      <c r="F73" s="4" t="s">
        <v>83</v>
      </c>
    </row>
    <row r="74" ht="15.75" customHeight="1">
      <c r="A74" s="2" t="str">
        <f t="shared" si="1"/>
        <v>1169</v>
      </c>
      <c r="B74" s="1" t="str">
        <f>IFERROR(__xludf.DUMMYFUNCTION("""COMPUTED_VALUE"""),"神経活性整体院KURATA")</f>
        <v>神経活性整体院KURATA</v>
      </c>
      <c r="C74" s="3" t="str">
        <f>IFERROR(__xludf.DUMMYFUNCTION("""COMPUTED_VALUE"""),"https://kurata.hp.peraichi.com/hiza/")</f>
        <v>https://kurata.hp.peraichi.com/hiza/</v>
      </c>
      <c r="D74" s="1" t="str">
        <f>IFERROR(__xludf.DUMMYFUNCTION("""COMPUTED_VALUE"""),"△")</f>
        <v>△</v>
      </c>
      <c r="E74" s="1" t="str">
        <f>IFERROR(__xludf.DUMMYFUNCTION("""COMPUTED_VALUE"""),"ペライチドメインの個人運営整体院（福岡・大阪拠点）のため")</f>
        <v>ペライチドメインの個人運営整体院（福岡・大阪拠点）のため</v>
      </c>
      <c r="F74" s="4" t="s">
        <v>84</v>
      </c>
    </row>
    <row r="75" ht="15.75" customHeight="1">
      <c r="A75" s="2" t="str">
        <f t="shared" si="1"/>
        <v>1170</v>
      </c>
      <c r="B75" s="1" t="str">
        <f>IFERROR(__xludf.DUMMYFUNCTION("""COMPUTED_VALUE"""),"田中幸治のお悩み相談室")</f>
        <v>田中幸治のお悩み相談室</v>
      </c>
      <c r="C75" s="3" t="str">
        <f>IFERROR(__xludf.DUMMYFUNCTION("""COMPUTED_VALUE"""),"https://totalhealthcounselor.jimdofree.com/")</f>
        <v>https://totalhealthcounselor.jimdofree.com/</v>
      </c>
      <c r="D75" s="1" t="str">
        <f>IFERROR(__xludf.DUMMYFUNCTION("""COMPUTED_VALUE"""),"△")</f>
        <v>△</v>
      </c>
      <c r="E75" s="1" t="str">
        <f>IFERROR(__xludf.DUMMYFUNCTION("""COMPUTED_VALUE"""),"Jimdoドメインの個人カウンセリングルームで独自メニュー提供のため")</f>
        <v>Jimdoドメインの個人カウンセリングルームで独自メニュー提供のため</v>
      </c>
      <c r="F75" s="4" t="s">
        <v>85</v>
      </c>
    </row>
    <row r="76" ht="15.75" customHeight="1">
      <c r="A76" s="2" t="str">
        <f t="shared" si="1"/>
        <v>1171</v>
      </c>
      <c r="B76" s="1" t="str">
        <f>IFERROR(__xludf.DUMMYFUNCTION("""COMPUTED_VALUE"""),"美容整骨サロン kilie")</f>
        <v>美容整骨サロン kilie</v>
      </c>
      <c r="C76" s="3" t="str">
        <f>IFERROR(__xludf.DUMMYFUNCTION("""COMPUTED_VALUE"""),"https://y443p9.wixsite.com/kilie/blank-1")</f>
        <v>https://y443p9.wixsite.com/kilie/blank-1</v>
      </c>
      <c r="D76" s="1" t="str">
        <f>IFERROR(__xludf.DUMMYFUNCTION("""COMPUTED_VALUE"""),"△")</f>
        <v>△</v>
      </c>
      <c r="E76" s="1" t="str">
        <f>IFERROR(__xludf.DUMMYFUNCTION("""COMPUTED_VALUE"""),"Wixドメインの女性専用完全予約制プライベートサロンのため")</f>
        <v>Wixドメインの女性専用完全予約制プライベートサロンのため</v>
      </c>
      <c r="F76" s="4" t="s">
        <v>86</v>
      </c>
    </row>
    <row r="77" ht="15.75" customHeight="1">
      <c r="A77" s="2" t="str">
        <f t="shared" si="1"/>
        <v>1172</v>
      </c>
      <c r="B77" s="1" t="str">
        <f>IFERROR(__xludf.DUMMYFUNCTION("""COMPUTED_VALUE"""),"整体院 慶（けい）")</f>
        <v>整体院 慶（けい）</v>
      </c>
      <c r="C77" s="3" t="str">
        <f>IFERROR(__xludf.DUMMYFUNCTION("""COMPUTED_VALUE"""),"https://seitaiin-kei.com/")</f>
        <v>https://seitaiin-kei.com/</v>
      </c>
      <c r="D77" s="1" t="str">
        <f>IFERROR(__xludf.DUMMYFUNCTION("""COMPUTED_VALUE"""),"△")</f>
        <v>△</v>
      </c>
      <c r="E77" s="1" t="str">
        <f>IFERROR(__xludf.DUMMYFUNCTION("""COMPUTED_VALUE"""),"中央区薬院の個人整体院で理学療法士院長のマンツーマン施術主体のため")</f>
        <v>中央区薬院の個人整体院で理学療法士院長のマンツーマン施術主体のため</v>
      </c>
      <c r="F77" s="4" t="s">
        <v>87</v>
      </c>
    </row>
    <row r="78" ht="15.75" customHeight="1">
      <c r="A78" s="2" t="str">
        <f t="shared" si="1"/>
        <v>1173</v>
      </c>
      <c r="B78" s="1" t="str">
        <f>IFERROR(__xludf.DUMMYFUNCTION("""COMPUTED_VALUE"""),"和苑（なごみえん）")</f>
        <v>和苑（なごみえん）</v>
      </c>
      <c r="C78" s="3" t="str">
        <f>IFERROR(__xludf.DUMMYFUNCTION("""COMPUTED_VALUE"""),"https://nagomien.jp/")</f>
        <v>https://nagomien.jp/</v>
      </c>
      <c r="D78" s="1" t="str">
        <f>IFERROR(__xludf.DUMMYFUNCTION("""COMPUTED_VALUE"""),"△")</f>
        <v>△</v>
      </c>
      <c r="E78" s="1" t="str">
        <f>IFERROR(__xludf.DUMMYFUNCTION("""COMPUTED_VALUE"""),"博多区の個人運営サロンで整体術＋ストレッチの独自施術提供のため")</f>
        <v>博多区の個人運営サロンで整体術＋ストレッチの独自施術提供のため</v>
      </c>
      <c r="F78" s="4" t="s">
        <v>88</v>
      </c>
    </row>
    <row r="79" ht="15.75" customHeight="1">
      <c r="A79" s="2" t="str">
        <f t="shared" si="1"/>
        <v>1174</v>
      </c>
      <c r="B79" s="1" t="str">
        <f>IFERROR(__xludf.DUMMYFUNCTION("""COMPUTED_VALUE"""),"福ふく整骨院")</f>
        <v>福ふく整骨院</v>
      </c>
      <c r="C79" s="3" t="str">
        <f>IFERROR(__xludf.DUMMYFUNCTION("""COMPUTED_VALUE"""),"https://fukuokakenkokotsuhagashi.hp.peraichi.com/")</f>
        <v>https://fukuokakenkokotsuhagashi.hp.peraichi.com/</v>
      </c>
      <c r="D79" s="1" t="str">
        <f>IFERROR(__xludf.DUMMYFUNCTION("""COMPUTED_VALUE"""),"△")</f>
        <v>△</v>
      </c>
      <c r="E79" s="1" t="str">
        <f>IFERROR(__xludf.DUMMYFUNCTION("""COMPUTED_VALUE"""),"ペライチドメインの早良区にある地域密着型の個人運営整骨院のため")</f>
        <v>ペライチドメインの早良区にある地域密着型の個人運営整骨院のため</v>
      </c>
      <c r="F79" s="4" t="s">
        <v>89</v>
      </c>
    </row>
    <row r="80" ht="15.75" customHeight="1">
      <c r="A80" s="2" t="str">
        <f t="shared" si="1"/>
        <v>1175</v>
      </c>
      <c r="B80" s="1" t="str">
        <f>IFERROR(__xludf.DUMMYFUNCTION("""COMPUTED_VALUE"""),"心理カウンセラー 吉田さちえ")</f>
        <v>心理カウンセラー 吉田さちえ</v>
      </c>
      <c r="C80" s="3" t="str">
        <f>IFERROR(__xludf.DUMMYFUNCTION("""COMPUTED_VALUE"""),"https://ms-sachi.jimdofree.com/")</f>
        <v>https://ms-sachi.jimdofree.com/</v>
      </c>
      <c r="D80" s="1" t="str">
        <f>IFERROR(__xludf.DUMMYFUNCTION("""COMPUTED_VALUE"""),"△")</f>
        <v>△</v>
      </c>
      <c r="E80" s="1" t="str">
        <f>IFERROR(__xludf.DUMMYFUNCTION("""COMPUTED_VALUE"""),"Jimdoドメインの個人カウンセラーで会員制動画と個別セッション中心のため")</f>
        <v>Jimdoドメインの個人カウンセラーで会員制動画と個別セッション中心のため</v>
      </c>
      <c r="F80" s="4" t="s">
        <v>90</v>
      </c>
    </row>
    <row r="81" ht="15.75" customHeight="1">
      <c r="A81" s="2" t="str">
        <f t="shared" si="1"/>
        <v>1176</v>
      </c>
      <c r="B81" s="1" t="str">
        <f>IFERROR(__xludf.DUMMYFUNCTION("""COMPUTED_VALUE"""),"けんこうらいふ")</f>
        <v>けんこうらいふ</v>
      </c>
      <c r="C81" s="3" t="str">
        <f>IFERROR(__xludf.DUMMYFUNCTION("""COMPUTED_VALUE"""),"https://kekoulife.jimdofree.com/")</f>
        <v>https://kekoulife.jimdofree.com/</v>
      </c>
      <c r="D81" s="1" t="str">
        <f>IFERROR(__xludf.DUMMYFUNCTION("""COMPUTED_VALUE"""),"△")</f>
        <v>△</v>
      </c>
      <c r="E81" s="1" t="str">
        <f>IFERROR(__xludf.DUMMYFUNCTION("""COMPUTED_VALUE"""),"Jimdoドメインの南区にある女性専用整体サロンで心理カウンセリングも併設しているため")</f>
        <v>Jimdoドメインの南区にある女性専用整体サロンで心理カウンセリングも併設しているため</v>
      </c>
      <c r="F81" s="4" t="s">
        <v>91</v>
      </c>
    </row>
    <row r="82" ht="15.75" customHeight="1">
      <c r="A82" s="2" t="str">
        <f t="shared" si="1"/>
        <v>1177</v>
      </c>
      <c r="B82" s="1" t="str">
        <f>IFERROR(__xludf.DUMMYFUNCTION("""COMPUTED_VALUE"""),"占いサロン虹 Rainbow")</f>
        <v>占いサロン虹 Rainbow</v>
      </c>
      <c r="C82" s="3" t="str">
        <f>IFERROR(__xludf.DUMMYFUNCTION("""COMPUTED_VALUE"""),"https://zion627.amebaownd.com/")</f>
        <v>https://zion627.amebaownd.com/</v>
      </c>
      <c r="D82" s="1" t="str">
        <f>IFERROR(__xludf.DUMMYFUNCTION("""COMPUTED_VALUE"""),"△")</f>
        <v>△</v>
      </c>
      <c r="E82" s="1" t="str">
        <f>IFERROR(__xludf.DUMMYFUNCTION("""COMPUTED_VALUE"""),"Ameba Owndドメインの中央区天神にある完全予約制の個人鑑定サロンのため")</f>
        <v>Ameba Owndドメインの中央区天神にある完全予約制の個人鑑定サロンのため</v>
      </c>
      <c r="F82" s="4" t="s">
        <v>92</v>
      </c>
    </row>
    <row r="83" ht="15.75" customHeight="1">
      <c r="A83" s="2" t="str">
        <f t="shared" si="1"/>
        <v>1178</v>
      </c>
      <c r="B83" s="1" t="str">
        <f>IFERROR(__xludf.DUMMYFUNCTION("""COMPUTED_VALUE"""),"Vinegar（ドッグヨガ・マンツーマン）")</f>
        <v>Vinegar（ドッグヨガ・マンツーマン）</v>
      </c>
      <c r="C83" s="3" t="str">
        <f>IFERROR(__xludf.DUMMYFUNCTION("""COMPUTED_VALUE"""),"https://hiroko31vivian.wixsite.com/dogyoga/boarding__daycare")</f>
        <v>https://hiroko31vivian.wixsite.com/dogyoga/boarding__daycare</v>
      </c>
      <c r="D83" s="1" t="str">
        <f>IFERROR(__xludf.DUMMYFUNCTION("""COMPUTED_VALUE"""),"△")</f>
        <v>△</v>
      </c>
      <c r="E83" s="1" t="str">
        <f>IFERROR(__xludf.DUMMYFUNCTION("""COMPUTED_VALUE"""),"Wixドメインの東区香椎照葉にあるマンツーマン主体の個人ヨガ教室のため")</f>
        <v>Wixドメインの東区香椎照葉にあるマンツーマン主体の個人ヨガ教室のため</v>
      </c>
      <c r="F83" s="4" t="s">
        <v>93</v>
      </c>
    </row>
    <row r="84" ht="15.75" customHeight="1">
      <c r="A84" s="2" t="str">
        <f t="shared" si="1"/>
        <v>1179</v>
      </c>
      <c r="B84" s="1" t="str">
        <f>IFERROR(__xludf.DUMMYFUNCTION("""COMPUTED_VALUE"""),"整体サロンさくら")</f>
        <v>整体サロンさくら</v>
      </c>
      <c r="C84" s="3" t="str">
        <f>IFERROR(__xludf.DUMMYFUNCTION("""COMPUTED_VALUE"""),"https://seitaisakura102.jimdofree.com/")</f>
        <v>https://seitaisakura102.jimdofree.com/</v>
      </c>
      <c r="D84" s="1" t="str">
        <f>IFERROR(__xludf.DUMMYFUNCTION("""COMPUTED_VALUE"""),"△")</f>
        <v>△</v>
      </c>
      <c r="E84" s="1" t="str">
        <f>IFERROR(__xludf.DUMMYFUNCTION("""COMPUTED_VALUE"""),"Jimdoドメインの小倉北区女性専門整体サロンで完全予約制マンツーマン施術のため")</f>
        <v>Jimdoドメインの小倉北区女性専門整体サロンで完全予約制マンツーマン施術のため</v>
      </c>
      <c r="F84" s="4" t="s">
        <v>94</v>
      </c>
    </row>
    <row r="85" ht="15.75" customHeight="1">
      <c r="A85" s="2" t="str">
        <f t="shared" si="1"/>
        <v>1180</v>
      </c>
      <c r="B85" s="1" t="str">
        <f>IFERROR(__xludf.DUMMYFUNCTION("""COMPUTED_VALUE"""),"カウンセリングルーム陽だまりの樹")</f>
        <v>カウンセリングルーム陽だまりの樹</v>
      </c>
      <c r="C85" s="3" t="str">
        <f>IFERROR(__xludf.DUMMYFUNCTION("""COMPUTED_VALUE"""),"https://hidamarinoki-yokko.jimdofree.com/")</f>
        <v>https://hidamarinoki-yokko.jimdofree.com/</v>
      </c>
      <c r="D85" s="1" t="str">
        <f>IFERROR(__xludf.DUMMYFUNCTION("""COMPUTED_VALUE"""),"△")</f>
        <v>△</v>
      </c>
      <c r="E85" s="1" t="str">
        <f>IFERROR(__xludf.DUMMYFUNCTION("""COMPUTED_VALUE"""),"Jimdoドメインの公認心理師個人運営カウンセリングルームのため")</f>
        <v>Jimdoドメインの公認心理師個人運営カウンセリングルームのため</v>
      </c>
      <c r="F85" s="4" t="s">
        <v>95</v>
      </c>
    </row>
    <row r="86" ht="15.75" customHeight="1">
      <c r="A86" s="2" t="str">
        <f t="shared" si="1"/>
        <v>1181</v>
      </c>
      <c r="B86" s="1" t="str">
        <f>IFERROR(__xludf.DUMMYFUNCTION("""COMPUTED_VALUE"""),"心理カウンセラー竹下ともえ")</f>
        <v>心理カウンセラー竹下ともえ</v>
      </c>
      <c r="C86" s="3" t="str">
        <f>IFERROR(__xludf.DUMMYFUNCTION("""COMPUTED_VALUE"""),"https://tomoe-takeshita.jimdofree.com/")</f>
        <v>https://tomoe-takeshita.jimdofree.com/</v>
      </c>
      <c r="D86" s="1" t="str">
        <f>IFERROR(__xludf.DUMMYFUNCTION("""COMPUTED_VALUE"""),"△")</f>
        <v>△</v>
      </c>
      <c r="E86" s="1" t="str">
        <f>IFERROR(__xludf.DUMMYFUNCTION("""COMPUTED_VALUE"""),"Jimdoドメインの個人カウンセラーによる講座・相談中心の小規模運営のため")</f>
        <v>Jimdoドメインの個人カウンセラーによる講座・相談中心の小規模運営のため</v>
      </c>
      <c r="F86" s="4" t="s">
        <v>96</v>
      </c>
    </row>
    <row r="87" ht="15.75" customHeight="1">
      <c r="A87" s="2" t="str">
        <f t="shared" si="1"/>
        <v>1182</v>
      </c>
      <c r="B87" s="1" t="str">
        <f>IFERROR(__xludf.DUMMYFUNCTION("""COMPUTED_VALUE"""),"カウンセリングルーム ひまわり")</f>
        <v>カウンセリングルーム ひまわり</v>
      </c>
      <c r="C87" s="3" t="str">
        <f>IFERROR(__xludf.DUMMYFUNCTION("""COMPUTED_VALUE"""),"https://himawari-bc-care.jimdofree.com/")</f>
        <v>https://himawari-bc-care.jimdofree.com/</v>
      </c>
      <c r="D87" s="1" t="str">
        <f>IFERROR(__xludf.DUMMYFUNCTION("""COMPUTED_VALUE"""),"△")</f>
        <v>△</v>
      </c>
      <c r="E87" s="1" t="str">
        <f>IFERROR(__xludf.DUMMYFUNCTION("""COMPUTED_VALUE"""),"Jimdoドメインの出張専門女性カウンセラー個人支援型サービスのため")</f>
        <v>Jimdoドメインの出張専門女性カウンセラー個人支援型サービスのため</v>
      </c>
      <c r="F87" s="4" t="s">
        <v>97</v>
      </c>
    </row>
    <row r="88" ht="15.75" customHeight="1">
      <c r="A88" s="2" t="str">
        <f t="shared" si="1"/>
        <v>1183</v>
      </c>
      <c r="B88" s="1" t="str">
        <f>IFERROR(__xludf.DUMMYFUNCTION("""COMPUTED_VALUE"""),"心理カウンセラー 前田満穂子")</f>
        <v>心理カウンセラー 前田満穂子</v>
      </c>
      <c r="C88" s="3" t="str">
        <f>IFERROR(__xludf.DUMMYFUNCTION("""COMPUTED_VALUE"""),"https://miho-maeda.jimdofree.com/")</f>
        <v>https://miho-maeda.jimdofree.com/</v>
      </c>
      <c r="D88" s="1" t="str">
        <f>IFERROR(__xludf.DUMMYFUNCTION("""COMPUTED_VALUE"""),"△")</f>
        <v>△</v>
      </c>
      <c r="E88" s="1" t="str">
        <f>IFERROR(__xludf.DUMMYFUNCTION("""COMPUTED_VALUE"""),"Jimdoドメインの公認心理師による地域密着型個人相談室のため")</f>
        <v>Jimdoドメインの公認心理師による地域密着型個人相談室のため</v>
      </c>
      <c r="F88" s="4" t="s">
        <v>98</v>
      </c>
    </row>
    <row r="89" ht="15.75" customHeight="1">
      <c r="A89" s="2" t="str">
        <f t="shared" si="1"/>
        <v>1184</v>
      </c>
      <c r="B89" s="1" t="str">
        <f>IFERROR(__xludf.DUMMYFUNCTION("""COMPUTED_VALUE"""),"こころアップ これから")</f>
        <v>こころアップ これから</v>
      </c>
      <c r="C89" s="3" t="str">
        <f>IFERROR(__xludf.DUMMYFUNCTION("""COMPUTED_VALUE"""),"https://kokoroup.jimdofree.com/")</f>
        <v>https://kokoroup.jimdofree.com/</v>
      </c>
      <c r="D89" s="1" t="str">
        <f>IFERROR(__xludf.DUMMYFUNCTION("""COMPUTED_VALUE"""),"△")</f>
        <v>△</v>
      </c>
      <c r="E89" s="1" t="str">
        <f>IFERROR(__xludf.DUMMYFUNCTION("""COMPUTED_VALUE"""),"Jimdoドメインの独自アプローチ型個人カウンセリングルームのため")</f>
        <v>Jimdoドメインの独自アプローチ型個人カウンセリングルームのため</v>
      </c>
      <c r="F89" s="4" t="s">
        <v>99</v>
      </c>
    </row>
    <row r="90" ht="15.75" customHeight="1">
      <c r="A90" s="2" t="str">
        <f t="shared" si="1"/>
        <v>1185</v>
      </c>
      <c r="B90" s="1" t="str">
        <f>IFERROR(__xludf.DUMMYFUNCTION("""COMPUTED_VALUE"""),"mimosa_healingneo")</f>
        <v>mimosa_healingneo</v>
      </c>
      <c r="C90" s="3" t="str">
        <f>IFERROR(__xludf.DUMMYFUNCTION("""COMPUTED_VALUE"""),"https://mimosa-healingneo16.amebaownd.com/")</f>
        <v>https://mimosa-healingneo16.amebaownd.com/</v>
      </c>
      <c r="D90" s="1" t="str">
        <f>IFERROR(__xludf.DUMMYFUNCTION("""COMPUTED_VALUE"""),"△")</f>
        <v>△</v>
      </c>
      <c r="E90" s="1" t="str">
        <f>IFERROR(__xludf.DUMMYFUNCTION("""COMPUTED_VALUE"""),"Ameba Owndドメインの若松区自宅型完全予約制サロンのため")</f>
        <v>Ameba Owndドメインの若松区自宅型完全予約制サロンのため</v>
      </c>
      <c r="F90" s="4" t="s">
        <v>100</v>
      </c>
    </row>
    <row r="91" ht="15.75" customHeight="1">
      <c r="A91" s="2" t="str">
        <f t="shared" si="1"/>
        <v>1186</v>
      </c>
      <c r="B91" s="1" t="str">
        <f>IFERROR(__xludf.DUMMYFUNCTION("""COMPUTED_VALUE"""),"Salon de Ribbon.")</f>
        <v>Salon de Ribbon.</v>
      </c>
      <c r="C91" s="3" t="str">
        <f>IFERROR(__xludf.DUMMYFUNCTION("""COMPUTED_VALUE"""),"https://salon-de-ribbon.amebaownd.com/")</f>
        <v>https://salon-de-ribbon.amebaownd.com/</v>
      </c>
      <c r="D91" s="1" t="str">
        <f>IFERROR(__xludf.DUMMYFUNCTION("""COMPUTED_VALUE"""),"△")</f>
        <v>△</v>
      </c>
      <c r="E91" s="1" t="str">
        <f>IFERROR(__xludf.DUMMYFUNCTION("""COMPUTED_VALUE"""),"Ameba Owndドメインの八幡西区自宅型フェイシャル個人サロンのため")</f>
        <v>Ameba Owndドメインの八幡西区自宅型フェイシャル個人サロンのため</v>
      </c>
      <c r="F91" s="4" t="s">
        <v>101</v>
      </c>
    </row>
    <row r="92" ht="15.75" customHeight="1">
      <c r="A92" s="2" t="str">
        <f t="shared" si="1"/>
        <v>1187</v>
      </c>
      <c r="B92" s="1" t="str">
        <f>IFERROR(__xludf.DUMMYFUNCTION("""COMPUTED_VALUE"""),"Relaxation room Rafu")</f>
        <v>Relaxation room Rafu</v>
      </c>
      <c r="C92" s="3" t="str">
        <f>IFERROR(__xludf.DUMMYFUNCTION("""COMPUTED_VALUE"""),"https://rafu-20170216.amebaownd.com/")</f>
        <v>https://rafu-20170216.amebaownd.com/</v>
      </c>
      <c r="D92" s="1" t="str">
        <f>IFERROR(__xludf.DUMMYFUNCTION("""COMPUTED_VALUE"""),"△")</f>
        <v>△</v>
      </c>
      <c r="E92" s="1" t="str">
        <f>IFERROR(__xludf.DUMMYFUNCTION("""COMPUTED_VALUE"""),"Ameba Owndドメインの小倉北区隠れ家型完全予約制サロンのため")</f>
        <v>Ameba Owndドメインの小倉北区隠れ家型完全予約制サロンのため</v>
      </c>
      <c r="F92" s="4" t="s">
        <v>102</v>
      </c>
    </row>
    <row r="93" ht="15.75" customHeight="1">
      <c r="A93" s="2" t="str">
        <f t="shared" si="1"/>
        <v>1188</v>
      </c>
      <c r="B93" s="1" t="str">
        <f>IFERROR(__xludf.DUMMYFUNCTION("""COMPUTED_VALUE"""),"プライベートサロン KaRin")</f>
        <v>プライベートサロン KaRin</v>
      </c>
      <c r="C93" s="3" t="str">
        <f>IFERROR(__xludf.DUMMYFUNCTION("""COMPUTED_VALUE"""),"https://karin18.amebaownd.com/")</f>
        <v>https://karin18.amebaownd.com/</v>
      </c>
      <c r="D93" s="1" t="str">
        <f>IFERROR(__xludf.DUMMYFUNCTION("""COMPUTED_VALUE"""),"△")</f>
        <v>△</v>
      </c>
      <c r="E93" s="1" t="str">
        <f>IFERROR(__xludf.DUMMYFUNCTION("""COMPUTED_VALUE"""),"Ameba Owndドメインのリンパケア中心完全予約制個人サロンのため")</f>
        <v>Ameba Owndドメインのリンパケア中心完全予約制個人サロンのため</v>
      </c>
      <c r="F93" s="4" t="s">
        <v>103</v>
      </c>
    </row>
    <row r="94" ht="15.75" customHeight="1">
      <c r="A94" s="2" t="str">
        <f t="shared" si="1"/>
        <v>1189</v>
      </c>
      <c r="B94" s="1" t="str">
        <f>IFERROR(__xludf.DUMMYFUNCTION("""COMPUTED_VALUE"""),"プライベートサロン REA.")</f>
        <v>プライベートサロン REA.</v>
      </c>
      <c r="C94" s="3" t="str">
        <f>IFERROR(__xludf.DUMMYFUNCTION("""COMPUTED_VALUE"""),"https://r.goope.jp/salon-r101/")</f>
        <v>https://r.goope.jp/salon-r101/</v>
      </c>
      <c r="D94" s="1" t="str">
        <f>IFERROR(__xludf.DUMMYFUNCTION("""COMPUTED_VALUE"""),"△")</f>
        <v>△</v>
      </c>
      <c r="E94" s="1" t="str">
        <f>IFERROR(__xludf.DUMMYFUNCTION("""COMPUTED_VALUE"""),"Goopeドメインの八幡西区マンツーマン施術型個人サロンのため")</f>
        <v>Goopeドメインの八幡西区マンツーマン施術型個人サロンのため</v>
      </c>
      <c r="F94" s="4" t="s">
        <v>104</v>
      </c>
    </row>
    <row r="95" ht="15.75" customHeight="1">
      <c r="A95" s="2" t="str">
        <f t="shared" si="1"/>
        <v>1190</v>
      </c>
      <c r="B95" s="1" t="str">
        <f>IFERROR(__xludf.DUMMYFUNCTION("""COMPUTED_VALUE"""),"メイクレッスン ヴィタリテ")</f>
        <v>メイクレッスン ヴィタリテ</v>
      </c>
      <c r="C95" s="3" t="str">
        <f>IFERROR(__xludf.DUMMYFUNCTION("""COMPUTED_VALUE"""),"https://r.goope.jp/vitalite")</f>
        <v>https://r.goope.jp/vitalite</v>
      </c>
      <c r="D95" s="1" t="str">
        <f>IFERROR(__xludf.DUMMYFUNCTION("""COMPUTED_VALUE"""),"△")</f>
        <v>△</v>
      </c>
      <c r="E95" s="1" t="str">
        <f>IFERROR(__xludf.DUMMYFUNCTION("""COMPUTED_VALUE"""),"Goopeドメインの一日一組限定マンツーマン指導型個人教室のため")</f>
        <v>Goopeドメインの一日一組限定マンツーマン指導型個人教室のため</v>
      </c>
      <c r="F95" s="4" t="s">
        <v>105</v>
      </c>
    </row>
    <row r="96" ht="15.75" customHeight="1">
      <c r="A96" s="2" t="str">
        <f t="shared" si="1"/>
        <v>1191</v>
      </c>
      <c r="B96" s="1" t="str">
        <f>IFERROR(__xludf.DUMMYFUNCTION("""COMPUTED_VALUE"""),"経絡リンパサロン 美仁伝")</f>
        <v>経絡リンパサロン 美仁伝</v>
      </c>
      <c r="C96" s="3" t="str">
        <f>IFERROR(__xludf.DUMMYFUNCTION("""COMPUTED_VALUE"""),"https://bijinden.wixsite.com/website")</f>
        <v>https://bijinden.wixsite.com/website</v>
      </c>
      <c r="D96" s="1" t="str">
        <f>IFERROR(__xludf.DUMMYFUNCTION("""COMPUTED_VALUE"""),"△")</f>
        <v>△</v>
      </c>
      <c r="E96" s="1" t="str">
        <f>IFERROR(__xludf.DUMMYFUNCTION("""COMPUTED_VALUE"""),"Wixドメインの小倉南区カウンセリング重視個人リンパサロンのため")</f>
        <v>Wixドメインの小倉南区カウンセリング重視個人リンパサロンのため</v>
      </c>
      <c r="F96" s="4" t="s">
        <v>106</v>
      </c>
    </row>
    <row r="97" ht="15.75" customHeight="1">
      <c r="A97" s="2" t="str">
        <f t="shared" si="1"/>
        <v>1192</v>
      </c>
      <c r="B97" s="1" t="str">
        <f>IFERROR(__xludf.DUMMYFUNCTION("""COMPUTED_VALUE"""),"エステサロン アンジェ")</f>
        <v>エステサロン アンジェ</v>
      </c>
      <c r="C97" s="3" t="str">
        <f>IFERROR(__xludf.DUMMYFUNCTION("""COMPUTED_VALUE"""),"https://ange01030403.wixsite.com/-site")</f>
        <v>https://ange01030403.wixsite.com/-site</v>
      </c>
      <c r="D97" s="1" t="str">
        <f>IFERROR(__xludf.DUMMYFUNCTION("""COMPUTED_VALUE"""),"△")</f>
        <v>△</v>
      </c>
      <c r="E97" s="1" t="str">
        <f>IFERROR(__xludf.DUMMYFUNCTION("""COMPUTED_VALUE"""),"Wixドメインの八幡西区心理ケア併設個人エステサロンのため")</f>
        <v>Wixドメインの八幡西区心理ケア併設個人エステサロンのため</v>
      </c>
      <c r="F97" s="4" t="s">
        <v>107</v>
      </c>
    </row>
    <row r="98" ht="15.75" customHeight="1">
      <c r="A98" s="2" t="str">
        <f t="shared" si="1"/>
        <v>1193</v>
      </c>
      <c r="B98" s="1" t="str">
        <f>IFERROR(__xludf.DUMMYFUNCTION("""COMPUTED_VALUE"""),"セラピールーム佑海")</f>
        <v>セラピールーム佑海</v>
      </c>
      <c r="C98" s="3" t="str">
        <f>IFERROR(__xludf.DUMMYFUNCTION("""COMPUTED_VALUE"""),"https://therapyroomyumi.wixsite.com/mysite")</f>
        <v>https://therapyroomyumi.wixsite.com/mysite</v>
      </c>
      <c r="D98" s="1" t="str">
        <f>IFERROR(__xludf.DUMMYFUNCTION("""COMPUTED_VALUE"""),"△")</f>
        <v>△</v>
      </c>
      <c r="E98" s="1" t="str">
        <f>IFERROR(__xludf.DUMMYFUNCTION("""COMPUTED_VALUE"""),"Wixドメインの個人スピリチュアルカウンセリングルームのため")</f>
        <v>Wixドメインの個人スピリチュアルカウンセリングルームのため</v>
      </c>
      <c r="F98" s="4" t="s">
        <v>108</v>
      </c>
    </row>
    <row r="99" ht="15.75" customHeight="1">
      <c r="A99" s="2" t="str">
        <f t="shared" si="1"/>
        <v>1194</v>
      </c>
      <c r="B99" s="1" t="str">
        <f>IFERROR(__xludf.DUMMYFUNCTION("""COMPUTED_VALUE"""),"Healing Garden Cornucopia")</f>
        <v>Healing Garden Cornucopia</v>
      </c>
      <c r="C99" s="3" t="str">
        <f>IFERROR(__xludf.DUMMYFUNCTION("""COMPUTED_VALUE"""),"https://conucopia.wixsite.com/conucopia")</f>
        <v>https://conucopia.wixsite.com/conucopia</v>
      </c>
      <c r="D99" s="1" t="str">
        <f>IFERROR(__xludf.DUMMYFUNCTION("""COMPUTED_VALUE"""),"△")</f>
        <v>△</v>
      </c>
      <c r="E99" s="1" t="str">
        <f>IFERROR(__xludf.DUMMYFUNCTION("""COMPUTED_VALUE"""),"Wixドメインの個人ヒーリング特化サロンのため")</f>
        <v>Wixドメインの個人ヒーリング特化サロンのため</v>
      </c>
      <c r="F99" s="4" t="s">
        <v>109</v>
      </c>
    </row>
    <row r="100" ht="15.75" customHeight="1">
      <c r="A100" s="2" t="str">
        <f t="shared" si="1"/>
        <v>1195</v>
      </c>
      <c r="B100" s="1" t="str">
        <f>IFERROR(__xludf.DUMMYFUNCTION("""COMPUTED_VALUE"""),"アンジェリーク")</f>
        <v>アンジェリーク</v>
      </c>
      <c r="C100" s="3" t="str">
        <f>IFERROR(__xludf.DUMMYFUNCTION("""COMPUTED_VALUE"""),"https://angelique-beaute.jimdofree.com/")</f>
        <v>https://angelique-beaute.jimdofree.com/</v>
      </c>
      <c r="D100" s="1" t="str">
        <f>IFERROR(__xludf.DUMMYFUNCTION("""COMPUTED_VALUE"""),"△")</f>
        <v>△</v>
      </c>
      <c r="E100" s="1" t="str">
        <f>IFERROR(__xludf.DUMMYFUNCTION("""COMPUTED_VALUE"""),"Jimdoドメインの小倉南区女性専用完全予約制個人サロンのため")</f>
        <v>Jimdoドメインの小倉南区女性専用完全予約制個人サロンのため</v>
      </c>
      <c r="F100" s="4" t="s">
        <v>110</v>
      </c>
    </row>
    <row r="101" ht="15.75" customHeight="1">
      <c r="A101" s="2" t="str">
        <f t="shared" si="1"/>
        <v>1196</v>
      </c>
      <c r="B101" s="1" t="str">
        <f>IFERROR(__xludf.DUMMYFUNCTION("""COMPUTED_VALUE"""),"daisy（デイジー）")</f>
        <v>daisy（デイジー）</v>
      </c>
      <c r="C101" s="3" t="str">
        <f>IFERROR(__xludf.DUMMYFUNCTION("""COMPUTED_VALUE"""),"https://daisy0507.jimdofree.com/")</f>
        <v>https://daisy0507.jimdofree.com/</v>
      </c>
      <c r="D101" s="1" t="str">
        <f>IFERROR(__xludf.DUMMYFUNCTION("""COMPUTED_VALUE"""),"△")</f>
        <v>△</v>
      </c>
      <c r="E101" s="1" t="str">
        <f>IFERROR(__xludf.DUMMYFUNCTION("""COMPUTED_VALUE"""),"Jimdoドメインの小倉南区完全予約制プライベートサロンのため")</f>
        <v>Jimdoドメインの小倉南区完全予約制プライベートサロンのため</v>
      </c>
      <c r="F101" s="4" t="s">
        <v>111</v>
      </c>
    </row>
    <row r="102" ht="15.75" customHeight="1">
      <c r="A102" s="2" t="str">
        <f t="shared" si="1"/>
        <v>1197</v>
      </c>
      <c r="B102" s="1" t="str">
        <f>IFERROR(__xludf.DUMMYFUNCTION("""COMPUTED_VALUE"""),"黒崎黄土よもぎ蒸しカーム")</f>
        <v>黒崎黄土よもぎ蒸しカーム</v>
      </c>
      <c r="C102" s="3" t="str">
        <f>IFERROR(__xludf.DUMMYFUNCTION("""COMPUTED_VALUE"""),"https://self-care-salon-carm.jimdofree.com/")</f>
        <v>https://self-care-salon-carm.jimdofree.com/</v>
      </c>
      <c r="D102" s="1" t="str">
        <f>IFERROR(__xludf.DUMMYFUNCTION("""COMPUTED_VALUE"""),"△")</f>
        <v>△</v>
      </c>
      <c r="E102" s="1" t="str">
        <f>IFERROR(__xludf.DUMMYFUNCTION("""COMPUTED_VALUE"""),"Jimdoドメインの八幡西区完全予約制プライベートサロンのため")</f>
        <v>Jimdoドメインの八幡西区完全予約制プライベートサロンのため</v>
      </c>
      <c r="F102" s="4" t="s">
        <v>112</v>
      </c>
    </row>
    <row r="103" ht="15.75" customHeight="1">
      <c r="A103" s="2" t="str">
        <f t="shared" si="1"/>
        <v>1198</v>
      </c>
      <c r="B103" s="1" t="str">
        <f>IFERROR(__xludf.DUMMYFUNCTION("""COMPUTED_VALUE"""),"tica nail")</f>
        <v>tica nail</v>
      </c>
      <c r="C103" s="3" t="str">
        <f>IFERROR(__xludf.DUMMYFUNCTION("""COMPUTED_VALUE"""),"https://tica-nail.jimdofree.com/")</f>
        <v>https://tica-nail.jimdofree.com/</v>
      </c>
      <c r="D103" s="1" t="str">
        <f>IFERROR(__xludf.DUMMYFUNCTION("""COMPUTED_VALUE"""),"△")</f>
        <v>△</v>
      </c>
      <c r="E103" s="1" t="str">
        <f>IFERROR(__xludf.DUMMYFUNCTION("""COMPUTED_VALUE"""),"Jimdoドメインの小倉北区完全予約制個人ネイルサロンのため")</f>
        <v>Jimdoドメインの小倉北区完全予約制個人ネイルサロンのため</v>
      </c>
      <c r="F103" s="4" t="s">
        <v>113</v>
      </c>
    </row>
    <row r="104" ht="15.75" customHeight="1">
      <c r="A104" s="2" t="str">
        <f t="shared" si="1"/>
        <v>1199</v>
      </c>
      <c r="B104" s="1" t="str">
        <f>IFERROR(__xludf.DUMMYFUNCTION("""COMPUTED_VALUE"""),"De I'm Ami")</f>
        <v>De I'm Ami</v>
      </c>
      <c r="C104" s="3" t="str">
        <f>IFERROR(__xludf.DUMMYFUNCTION("""COMPUTED_VALUE"""),"https://de-im-ami.jimdofree.com/")</f>
        <v>https://de-im-ami.jimdofree.com/</v>
      </c>
      <c r="D104" s="1" t="str">
        <f>IFERROR(__xludf.DUMMYFUNCTION("""COMPUTED_VALUE"""),"△")</f>
        <v>△</v>
      </c>
      <c r="E104" s="1" t="str">
        <f>IFERROR(__xludf.DUMMYFUNCTION("""COMPUTED_VALUE"""),"Jimdoドメインの八幡西区丁寧対応型完全予約制個人サロンのため")</f>
        <v>Jimdoドメインの八幡西区丁寧対応型完全予約制個人サロンのため</v>
      </c>
      <c r="F104" s="4" t="s">
        <v>114</v>
      </c>
    </row>
    <row r="105" ht="15.75" customHeight="1">
      <c r="A105" s="2" t="str">
        <f t="shared" si="1"/>
        <v>1200</v>
      </c>
      <c r="B105" s="1" t="str">
        <f>IFERROR(__xludf.DUMMYFUNCTION("""COMPUTED_VALUE"""),"ヘアーブースアレッジ北九州八幡東")</f>
        <v>ヘアーブースアレッジ北九州八幡東</v>
      </c>
      <c r="C105" s="3" t="str">
        <f>IFERROR(__xludf.DUMMYFUNCTION("""COMPUTED_VALUE"""),"https://hb2arredge.hp.peraichi.com/")</f>
        <v>https://hb2arredge.hp.peraichi.com/</v>
      </c>
      <c r="D105" s="1" t="str">
        <f>IFERROR(__xludf.DUMMYFUNCTION("""COMPUTED_VALUE"""),"△")</f>
        <v>△</v>
      </c>
      <c r="E105" s="1" t="str">
        <f>IFERROR(__xludf.DUMMYFUNCTION("""COMPUTED_VALUE"""),"ペライチドメインのマンツーマン対応個人ヘアサロンのため")</f>
        <v>ペライチドメインのマンツーマン対応個人ヘアサロンのため</v>
      </c>
      <c r="F105" s="4" t="s">
        <v>115</v>
      </c>
    </row>
    <row r="106" ht="15.75" customHeight="1">
      <c r="A106" s="2" t="str">
        <f t="shared" si="1"/>
        <v>1201</v>
      </c>
      <c r="B106" s="1" t="str">
        <f>IFERROR(__xludf.DUMMYFUNCTION("""COMPUTED_VALUE"""),"香音〜kanon〜")</f>
        <v>香音〜kanon〜</v>
      </c>
      <c r="C106" s="3" t="str">
        <f>IFERROR(__xludf.DUMMYFUNCTION("""COMPUTED_VALUE"""),"https://komeco-kanon.hp.peraichi.com/")</f>
        <v>https://komeco-kanon.hp.peraichi.com/</v>
      </c>
      <c r="D106" s="1" t="str">
        <f>IFERROR(__xludf.DUMMYFUNCTION("""COMPUTED_VALUE"""),"△")</f>
        <v>△</v>
      </c>
      <c r="E106" s="1" t="str">
        <f>IFERROR(__xludf.DUMMYFUNCTION("""COMPUTED_VALUE"""),"ペライチドメインのマンツーマンレッスン対応個人教室のため")</f>
        <v>ペライチドメインのマンツーマンレッスン対応個人教室のため</v>
      </c>
      <c r="F106" s="4" t="s">
        <v>116</v>
      </c>
    </row>
    <row r="107" ht="15.75" customHeight="1">
      <c r="A107" s="2" t="str">
        <f t="shared" si="1"/>
        <v>1202</v>
      </c>
      <c r="B107" s="1" t="str">
        <f>IFERROR(__xludf.DUMMYFUNCTION("""COMPUTED_VALUE"""),"private salon nikogao")</f>
        <v>private salon nikogao</v>
      </c>
      <c r="C107" s="3" t="str">
        <f>IFERROR(__xludf.DUMMYFUNCTION("""COMPUTED_VALUE"""),"https://onnist.wixsite.com/nikogao")</f>
        <v>https://onnist.wixsite.com/nikogao</v>
      </c>
      <c r="D107" s="1" t="str">
        <f>IFERROR(__xludf.DUMMYFUNCTION("""COMPUTED_VALUE"""),"△")</f>
        <v>△</v>
      </c>
      <c r="E107" s="1" t="str">
        <f>IFERROR(__xludf.DUMMYFUNCTION("""COMPUTED_VALUE"""),"Wixドメインの小倉南区一軒家完全予約制プライベートサロンのため")</f>
        <v>Wixドメインの小倉南区一軒家完全予約制プライベートサロンのため</v>
      </c>
      <c r="F107" s="4" t="s">
        <v>117</v>
      </c>
    </row>
    <row r="108" ht="15.75" customHeight="1">
      <c r="A108" s="2" t="str">
        <f t="shared" si="1"/>
        <v>1203</v>
      </c>
      <c r="B108" s="1" t="str">
        <f>IFERROR(__xludf.DUMMYFUNCTION("""COMPUTED_VALUE"""),"marika bodycare salon")</f>
        <v>marika bodycare salon</v>
      </c>
      <c r="C108" s="3" t="str">
        <f>IFERROR(__xludf.DUMMYFUNCTION("""COMPUTED_VALUE"""),"https://peraichi.com/landing_pages/view/marikabodycaresalon/")</f>
        <v>https://peraichi.com/landing_pages/view/marikabodycaresalon/</v>
      </c>
      <c r="D108" s="1" t="str">
        <f>IFERROR(__xludf.DUMMYFUNCTION("""COMPUTED_VALUE"""),"△")</f>
        <v>△</v>
      </c>
      <c r="E108" s="1" t="str">
        <f>IFERROR(__xludf.DUMMYFUNCTION("""COMPUTED_VALUE"""),"ペライチドメインの門司区女性限定完全予約制プライベートサロンのため")</f>
        <v>ペライチドメインの門司区女性限定完全予約制プライベートサロンのため</v>
      </c>
      <c r="F108" s="4" t="s">
        <v>118</v>
      </c>
    </row>
    <row r="109" ht="15.75" customHeight="1">
      <c r="A109" s="2" t="str">
        <f t="shared" si="1"/>
        <v>1204</v>
      </c>
      <c r="B109" s="1" t="str">
        <f>IFERROR(__xludf.DUMMYFUNCTION("""COMPUTED_VALUE"""),"private salon Uruwashi")</f>
        <v>private salon Uruwashi</v>
      </c>
      <c r="C109" s="3" t="str">
        <f>IFERROR(__xludf.DUMMYFUNCTION("""COMPUTED_VALUE"""),"https://uruwashi2020.wixsite.com/salon/")</f>
        <v>https://uruwashi2020.wixsite.com/salon/</v>
      </c>
      <c r="D109" s="1" t="str">
        <f>IFERROR(__xludf.DUMMYFUNCTION("""COMPUTED_VALUE"""),"△")</f>
        <v>△</v>
      </c>
      <c r="E109" s="1" t="str">
        <f>IFERROR(__xludf.DUMMYFUNCTION("""COMPUTED_VALUE"""),"Wixドメインの小倉北区1日2名限定完全予約制個人エステサロンのため")</f>
        <v>Wixドメインの小倉北区1日2名限定完全予約制個人エステサロンのため</v>
      </c>
      <c r="F109" s="4" t="s">
        <v>119</v>
      </c>
    </row>
    <row r="110" ht="15.75" customHeight="1">
      <c r="A110" s="2" t="str">
        <f t="shared" si="1"/>
        <v>1205</v>
      </c>
      <c r="B110" s="1" t="str">
        <f>IFERROR(__xludf.DUMMYFUNCTION("""COMPUTED_VALUE"""),"トータルボディケアサロン Grace")</f>
        <v>トータルボディケアサロン Grace</v>
      </c>
      <c r="C110" s="3" t="str">
        <f>IFERROR(__xludf.DUMMYFUNCTION("""COMPUTED_VALUE"""),"https://grace-everafter.jimdofree.com/")</f>
        <v>https://grace-everafter.jimdofree.com/</v>
      </c>
      <c r="D110" s="1" t="str">
        <f>IFERROR(__xludf.DUMMYFUNCTION("""COMPUTED_VALUE"""),"△")</f>
        <v>△</v>
      </c>
      <c r="E110" s="1" t="str">
        <f>IFERROR(__xludf.DUMMYFUNCTION("""COMPUTED_VALUE"""),"Jimdoドメインの若松区完全予約制地域密着型個人サロンのため")</f>
        <v>Jimdoドメインの若松区完全予約制地域密着型個人サロンのため</v>
      </c>
      <c r="F110" s="4" t="s">
        <v>120</v>
      </c>
    </row>
    <row r="111" ht="15.75" customHeight="1">
      <c r="A111" s="2" t="str">
        <f t="shared" si="1"/>
        <v>1206</v>
      </c>
      <c r="B111" s="1" t="str">
        <f>IFERROR(__xludf.DUMMYFUNCTION("""COMPUTED_VALUE"""),"エステサロン KATUKI")</f>
        <v>エステサロン KATUKI</v>
      </c>
      <c r="C111" s="3" t="str">
        <f>IFERROR(__xludf.DUMMYFUNCTION("""COMPUTED_VALUE"""),"https://katuki3.jimdofree.com/")</f>
        <v>https://katuki3.jimdofree.com/</v>
      </c>
      <c r="D111" s="1" t="str">
        <f>IFERROR(__xludf.DUMMYFUNCTION("""COMPUTED_VALUE"""),"△")</f>
        <v>△</v>
      </c>
      <c r="E111" s="1" t="str">
        <f>IFERROR(__xludf.DUMMYFUNCTION("""COMPUTED_VALUE"""),"Jimdoドメインの完全予約制個人プライベートサロンのため")</f>
        <v>Jimdoドメインの完全予約制個人プライベートサロンのため</v>
      </c>
      <c r="F111" s="4" t="s">
        <v>121</v>
      </c>
    </row>
    <row r="112" ht="15.75" customHeight="1">
      <c r="A112" s="2" t="str">
        <f t="shared" si="1"/>
        <v>1207</v>
      </c>
      <c r="B112" s="1" t="str">
        <f>IFERROR(__xludf.DUMMYFUNCTION("""COMPUTED_VALUE"""),"hair&amp;design RUX")</f>
        <v>hair&amp;design RUX</v>
      </c>
      <c r="C112" s="3" t="str">
        <f>IFERROR(__xludf.DUMMYFUNCTION("""COMPUTED_VALUE"""),"https://r.goope.jp/rux/")</f>
        <v>https://r.goope.jp/rux/</v>
      </c>
      <c r="D112" s="1" t="str">
        <f>IFERROR(__xludf.DUMMYFUNCTION("""COMPUTED_VALUE"""),"△")</f>
        <v>△</v>
      </c>
      <c r="E112" s="1" t="str">
        <f>IFERROR(__xludf.DUMMYFUNCTION("""COMPUTED_VALUE"""),"Goopeドメインのマンツーマン施術オーナー対応型個人サロンのため")</f>
        <v>Goopeドメインのマンツーマン施術オーナー対応型個人サロンのため</v>
      </c>
      <c r="F112" s="4" t="s">
        <v>122</v>
      </c>
    </row>
    <row r="113" ht="15.75" customHeight="1">
      <c r="A113" s="2" t="str">
        <f t="shared" si="1"/>
        <v>1208</v>
      </c>
      <c r="B113" s="1" t="str">
        <f>IFERROR(__xludf.DUMMYFUNCTION("""COMPUTED_VALUE"""),"ANGEL hand あだち整体エステ")</f>
        <v>ANGEL hand あだち整体エステ</v>
      </c>
      <c r="C113" s="3" t="str">
        <f>IFERROR(__xludf.DUMMYFUNCTION("""COMPUTED_VALUE"""),"https://angel-hand.crayonsite.info/")</f>
        <v>https://angel-hand.crayonsite.info/</v>
      </c>
      <c r="D113" s="1" t="str">
        <f>IFERROR(__xludf.DUMMYFUNCTION("""COMPUTED_VALUE"""),"△")</f>
        <v>△</v>
      </c>
      <c r="E113" s="1" t="str">
        <f>IFERROR(__xludf.DUMMYFUNCTION("""COMPUTED_VALUE"""),"Crayonドメインの小倉北区自宅型整体エステ個人サロンのため")</f>
        <v>Crayonドメインの小倉北区自宅型整体エステ個人サロンのため</v>
      </c>
      <c r="F113" s="4" t="s">
        <v>123</v>
      </c>
    </row>
    <row r="114" ht="15.75" customHeight="1">
      <c r="A114" s="2" t="str">
        <f t="shared" si="1"/>
        <v>1209</v>
      </c>
      <c r="B114" s="1" t="str">
        <f>IFERROR(__xludf.DUMMYFUNCTION("""COMPUTED_VALUE"""),"リンパマッサージサロン Brilliant")</f>
        <v>リンパマッサージサロン Brilliant</v>
      </c>
      <c r="C114" s="3" t="str">
        <f>IFERROR(__xludf.DUMMYFUNCTION("""COMPUTED_VALUE"""),"https://brilliant-kyo.amebaownd.com/")</f>
        <v>https://brilliant-kyo.amebaownd.com/</v>
      </c>
      <c r="D114" s="1" t="str">
        <f>IFERROR(__xludf.DUMMYFUNCTION("""COMPUTED_VALUE"""),"△")</f>
        <v>△</v>
      </c>
      <c r="E114" s="1" t="str">
        <f>IFERROR(__xludf.DUMMYFUNCTION("""COMPUTED_VALUE"""),"Ameba Owndドメインの小倉北区小規模個人リンパサロンのため")</f>
        <v>Ameba Owndドメインの小倉北区小規模個人リンパサロンのため</v>
      </c>
      <c r="F114" s="4" t="s">
        <v>124</v>
      </c>
    </row>
    <row r="115" ht="15.75" customHeight="1">
      <c r="A115" s="2" t="str">
        <f t="shared" si="1"/>
        <v>1210</v>
      </c>
      <c r="B115" s="1" t="str">
        <f>IFERROR(__xludf.DUMMYFUNCTION("""COMPUTED_VALUE"""),"アロマリンパケア TinkerBell")</f>
        <v>アロマリンパケア TinkerBell</v>
      </c>
      <c r="C115" s="3" t="str">
        <f>IFERROR(__xludf.DUMMYFUNCTION("""COMPUTED_VALUE"""),"https://aromalymphcaretinkerbell.amebaownd.com/")</f>
        <v>https://aromalymphcaretinkerbell.amebaownd.com/</v>
      </c>
      <c r="D115" s="1" t="str">
        <f>IFERROR(__xludf.DUMMYFUNCTION("""COMPUTED_VALUE"""),"△")</f>
        <v>△</v>
      </c>
      <c r="E115" s="1" t="str">
        <f>IFERROR(__xludf.DUMMYFUNCTION("""COMPUTED_VALUE"""),"Ameba Owndドメインの自宅型個人アロマケアサロンのため")</f>
        <v>Ameba Owndドメインの自宅型個人アロマケアサロンのため</v>
      </c>
      <c r="F115" s="4" t="s">
        <v>125</v>
      </c>
    </row>
    <row r="116" ht="15.75" customHeight="1">
      <c r="A116" s="2" t="str">
        <f t="shared" si="1"/>
        <v>1211</v>
      </c>
      <c r="B116" s="1" t="str">
        <f>IFERROR(__xludf.DUMMYFUNCTION("""COMPUTED_VALUE"""),"ロータスウェルネス鍼灸院")</f>
        <v>ロータスウェルネス鍼灸院</v>
      </c>
      <c r="C116" s="3" t="str">
        <f>IFERROR(__xludf.DUMMYFUNCTION("""COMPUTED_VALUE"""),"http://lotuswellness.strikingly.com/")</f>
        <v>http://lotuswellness.strikingly.com/</v>
      </c>
      <c r="D116" s="1" t="str">
        <f>IFERROR(__xludf.DUMMYFUNCTION("""COMPUTED_VALUE"""),"△")</f>
        <v>△</v>
      </c>
      <c r="E116" s="1" t="str">
        <f>IFERROR(__xludf.DUMMYFUNCTION("""COMPUTED_VALUE"""),"Strikinglyドメインの個人鍼灸院でオンライン相談等小規模運営のため")</f>
        <v>Strikinglyドメインの個人鍼灸院でオンライン相談等小規模運営のため</v>
      </c>
      <c r="F116" s="4" t="s">
        <v>126</v>
      </c>
    </row>
    <row r="117" ht="15.75" customHeight="1">
      <c r="A117" s="2" t="str">
        <f t="shared" si="1"/>
        <v>1212</v>
      </c>
      <c r="B117" s="1" t="str">
        <f>IFERROR(__xludf.DUMMYFUNCTION("""COMPUTED_VALUE"""),"サロンF")</f>
        <v>サロンF</v>
      </c>
      <c r="C117" s="3" t="str">
        <f>IFERROR(__xludf.DUMMYFUNCTION("""COMPUTED_VALUE"""),"https://mi2xd.hp.peraichi.com/")</f>
        <v>https://mi2xd.hp.peraichi.com/</v>
      </c>
      <c r="D117" s="1" t="str">
        <f>IFERROR(__xludf.DUMMYFUNCTION("""COMPUTED_VALUE"""),"△")</f>
        <v>△</v>
      </c>
      <c r="E117" s="1" t="str">
        <f>IFERROR(__xludf.DUMMYFUNCTION("""COMPUTED_VALUE"""),"ペライチドメインの小倉北区完全予約制個室型個人マッサージサロンのため")</f>
        <v>ペライチドメインの小倉北区完全予約制個室型個人マッサージサロンのため</v>
      </c>
      <c r="F117" s="4" t="s">
        <v>127</v>
      </c>
    </row>
    <row r="118" ht="15.75" customHeight="1">
      <c r="A118" s="2" t="str">
        <f t="shared" si="1"/>
        <v>1213</v>
      </c>
      <c r="B118" s="1" t="str">
        <f>IFERROR(__xludf.DUMMYFUNCTION("""COMPUTED_VALUE"""),"キャナリブラン")</f>
        <v>キャナリブラン</v>
      </c>
      <c r="C118" s="3" t="str">
        <f>IFERROR(__xludf.DUMMYFUNCTION("""COMPUTED_VALUE"""),"https://kavachan.jimdofree.com/")</f>
        <v>https://kavachan.jimdofree.com/</v>
      </c>
      <c r="D118" s="1" t="str">
        <f>IFERROR(__xludf.DUMMYFUNCTION("""COMPUTED_VALUE"""),"△")</f>
        <v>△</v>
      </c>
      <c r="E118" s="1" t="str">
        <f>IFERROR(__xludf.DUMMYFUNCTION("""COMPUTED_VALUE"""),"Jimdoドメインの戸畑区女性専用完全予約制個人サロンのため")</f>
        <v>Jimdoドメインの戸畑区女性専用完全予約制個人サロンのため</v>
      </c>
      <c r="F118" s="4" t="s">
        <v>128</v>
      </c>
    </row>
    <row r="119" ht="15.75" customHeight="1">
      <c r="A119" s="2" t="str">
        <f t="shared" si="1"/>
        <v>1214</v>
      </c>
      <c r="B119" s="1" t="str">
        <f>IFERROR(__xludf.DUMMYFUNCTION("""COMPUTED_VALUE"""),"kaorino coccole（香りのコッコレ）")</f>
        <v>kaorino coccole（香りのコッコレ）</v>
      </c>
      <c r="C119" s="3" t="str">
        <f>IFERROR(__xludf.DUMMYFUNCTION("""COMPUTED_VALUE"""),"https://kaorinococcole.jimdofree.com/")</f>
        <v>https://kaorinococcole.jimdofree.com/</v>
      </c>
      <c r="D119" s="1" t="str">
        <f>IFERROR(__xludf.DUMMYFUNCTION("""COMPUTED_VALUE"""),"△")</f>
        <v>△</v>
      </c>
      <c r="E119" s="1" t="str">
        <f>IFERROR(__xludf.DUMMYFUNCTION("""COMPUTED_VALUE"""),"Jimdoドメインの看護師運営完全予約制アロマ個人サロンのため")</f>
        <v>Jimdoドメインの看護師運営完全予約制アロマ個人サロンのため</v>
      </c>
      <c r="F119" s="4" t="s">
        <v>129</v>
      </c>
    </row>
    <row r="120" ht="15.75" customHeight="1">
      <c r="A120" s="2" t="str">
        <f t="shared" si="1"/>
        <v>1215</v>
      </c>
      <c r="B120" s="1" t="str">
        <f>IFERROR(__xludf.DUMMYFUNCTION("""COMPUTED_VALUE"""),"脊椎セラピーサロン ららら")</f>
        <v>脊椎セラピーサロン ららら</v>
      </c>
      <c r="C120" s="3" t="str">
        <f>IFERROR(__xludf.DUMMYFUNCTION("""COMPUTED_VALUE"""),"https://v3-rarara.jimdofree.com/")</f>
        <v>https://v3-rarara.jimdofree.com/</v>
      </c>
      <c r="D120" s="1" t="str">
        <f>IFERROR(__xludf.DUMMYFUNCTION("""COMPUTED_VALUE"""),"△")</f>
        <v>△</v>
      </c>
      <c r="E120" s="1" t="str">
        <f>IFERROR(__xludf.DUMMYFUNCTION("""COMPUTED_VALUE"""),"Jimdoドメインの女性専用完全予約制健康支援型個人サロンのため")</f>
        <v>Jimdoドメインの女性専用完全予約制健康支援型個人サロンのため</v>
      </c>
      <c r="F120" s="4" t="s">
        <v>130</v>
      </c>
    </row>
    <row r="121" ht="15.75" customHeight="1">
      <c r="A121" s="2" t="str">
        <f t="shared" si="1"/>
        <v>1216</v>
      </c>
      <c r="B121" s="1" t="str">
        <f>IFERROR(__xludf.DUMMYFUNCTION("""COMPUTED_VALUE"""),"Rianna salon")</f>
        <v>Rianna salon</v>
      </c>
      <c r="C121" s="3" t="str">
        <f>IFERROR(__xludf.DUMMYFUNCTION("""COMPUTED_VALUE"""),"https://rianna39.amebaownd.com/")</f>
        <v>https://rianna39.amebaownd.com/</v>
      </c>
      <c r="D121" s="1" t="str">
        <f>IFERROR(__xludf.DUMMYFUNCTION("""COMPUTED_VALUE"""),"△")</f>
        <v>△</v>
      </c>
      <c r="E121" s="1" t="str">
        <f>IFERROR(__xludf.DUMMYFUNCTION("""COMPUTED_VALUE"""),"Ameba Owndドメインの若松区自宅型地域密着個人サロンのため")</f>
        <v>Ameba Owndドメインの若松区自宅型地域密着個人サロンのため</v>
      </c>
      <c r="F121" s="4" t="s">
        <v>131</v>
      </c>
    </row>
    <row r="122" ht="15.75" customHeight="1">
      <c r="A122" s="2" t="str">
        <f t="shared" si="1"/>
        <v>1217</v>
      </c>
      <c r="B122" s="1" t="str">
        <f>IFERROR(__xludf.DUMMYFUNCTION("""COMPUTED_VALUE"""),"Blue daisy")</f>
        <v>Blue daisy</v>
      </c>
      <c r="C122" s="3" t="str">
        <f>IFERROR(__xludf.DUMMYFUNCTION("""COMPUTED_VALUE"""),"https://bluedaisy202102.amebaownd.com/")</f>
        <v>https://bluedaisy202102.amebaownd.com/</v>
      </c>
      <c r="D122" s="1" t="str">
        <f>IFERROR(__xludf.DUMMYFUNCTION("""COMPUTED_VALUE"""),"△")</f>
        <v>△</v>
      </c>
      <c r="E122" s="1" t="str">
        <f>IFERROR(__xludf.DUMMYFUNCTION("""COMPUTED_VALUE"""),"Ameba Owndドメインの若松区完全予約制プライベートサロンのため")</f>
        <v>Ameba Owndドメインの若松区完全予約制プライベートサロンのため</v>
      </c>
      <c r="F122" s="4" t="s">
        <v>132</v>
      </c>
    </row>
    <row r="123" ht="15.75" customHeight="1">
      <c r="A123" s="2" t="str">
        <f t="shared" si="1"/>
        <v>1218</v>
      </c>
      <c r="B123" s="1" t="str">
        <f>IFERROR(__xludf.DUMMYFUNCTION("""COMPUTED_VALUE"""),"頭痛専門 ひかり整体院")</f>
        <v>頭痛専門 ひかり整体院</v>
      </c>
      <c r="C123" s="3" t="str">
        <f>IFERROR(__xludf.DUMMYFUNCTION("""COMPUTED_VALUE"""),"https://kokura-hikari.jimdofree.com/")</f>
        <v>https://kokura-hikari.jimdofree.com/</v>
      </c>
      <c r="D123" s="1" t="str">
        <f>IFERROR(__xludf.DUMMYFUNCTION("""COMPUTED_VALUE"""),"△")</f>
        <v>△</v>
      </c>
      <c r="E123" s="1" t="str">
        <f>IFERROR(__xludf.DUMMYFUNCTION("""COMPUTED_VALUE"""),"Jimdoドメインの戸畑区頭痛特化完全予約制個人整体院のため")</f>
        <v>Jimdoドメインの戸畑区頭痛特化完全予約制個人整体院のため</v>
      </c>
      <c r="F123" s="4" t="s">
        <v>133</v>
      </c>
    </row>
    <row r="124" ht="15.75" customHeight="1">
      <c r="A124" s="2" t="str">
        <f t="shared" si="1"/>
        <v>1219</v>
      </c>
      <c r="B124" s="1" t="str">
        <f>IFERROR(__xludf.DUMMYFUNCTION("""COMPUTED_VALUE"""),"リラクゼーションハウス Cocoa")</f>
        <v>リラクゼーションハウス Cocoa</v>
      </c>
      <c r="C124" s="3" t="str">
        <f>IFERROR(__xludf.DUMMYFUNCTION("""COMPUTED_VALUE"""),"https://cocoa20200424.wixsite.com/cocoa")</f>
        <v>https://cocoa20200424.wixsite.com/cocoa</v>
      </c>
      <c r="D124" s="1" t="str">
        <f>IFERROR(__xludf.DUMMYFUNCTION("""COMPUTED_VALUE"""),"△")</f>
        <v>△</v>
      </c>
      <c r="E124" s="1" t="str">
        <f>IFERROR(__xludf.DUMMYFUNCTION("""COMPUTED_VALUE"""),"Wixドメインのオーダーメイド施術型個人リラクゼーションサロンのため")</f>
        <v>Wixドメインのオーダーメイド施術型個人リラクゼーションサロンのため</v>
      </c>
      <c r="F124" s="4" t="s">
        <v>134</v>
      </c>
    </row>
    <row r="125" ht="15.75" customHeight="1">
      <c r="A125" s="2" t="str">
        <f t="shared" si="1"/>
        <v>1220</v>
      </c>
      <c r="B125" s="1" t="str">
        <f>IFERROR(__xludf.DUMMYFUNCTION("""COMPUTED_VALUE"""),"リラクゼーションサロン 沙羅双樹")</f>
        <v>リラクゼーションサロン 沙羅双樹</v>
      </c>
      <c r="C125" s="3" t="str">
        <f>IFERROR(__xludf.DUMMYFUNCTION("""COMPUTED_VALUE"""),"https://sarasouju.wixsite.com/salon")</f>
        <v>https://sarasouju.wixsite.com/salon</v>
      </c>
      <c r="D125" s="1" t="str">
        <f>IFERROR(__xludf.DUMMYFUNCTION("""COMPUTED_VALUE"""),"△")</f>
        <v>△</v>
      </c>
      <c r="E125" s="1" t="str">
        <f>IFERROR(__xludf.DUMMYFUNCTION("""COMPUTED_VALUE"""),"Wixドメインの八幡西区経絡リンパ個人サロンのため")</f>
        <v>Wixドメインの八幡西区経絡リンパ個人サロンのため</v>
      </c>
      <c r="F125" s="4" t="s">
        <v>135</v>
      </c>
    </row>
    <row r="126" ht="15.75" customHeight="1">
      <c r="A126" s="2" t="str">
        <f t="shared" si="1"/>
        <v>1221</v>
      </c>
      <c r="B126" s="1" t="str">
        <f>IFERROR(__xludf.DUMMYFUNCTION("""COMPUTED_VALUE"""),"4-Life パーソナルトレーニング")</f>
        <v>4-Life パーソナルトレーニング</v>
      </c>
      <c r="C126" s="3" t="str">
        <f>IFERROR(__xludf.DUMMYFUNCTION("""COMPUTED_VALUE"""),"https://4-life.wixsite.com/website")</f>
        <v>https://4-life.wixsite.com/website</v>
      </c>
      <c r="D126" s="1" t="str">
        <f>IFERROR(__xludf.DUMMYFUNCTION("""COMPUTED_VALUE"""),"△")</f>
        <v>△</v>
      </c>
      <c r="E126" s="1" t="str">
        <f>IFERROR(__xludf.DUMMYFUNCTION("""COMPUTED_VALUE"""),"Wixドメインの個人特化オンライン対応パーソナルトレーニングジムのため")</f>
        <v>Wixドメインの個人特化オンライン対応パーソナルトレーニングジムのため</v>
      </c>
      <c r="F126" s="4" t="s">
        <v>136</v>
      </c>
    </row>
    <row r="127" ht="15.75" customHeight="1">
      <c r="A127" s="2" t="str">
        <f t="shared" si="1"/>
        <v>1222</v>
      </c>
      <c r="B127" s="1" t="str">
        <f>IFERROR(__xludf.DUMMYFUNCTION("""COMPUTED_VALUE"""),"イタリア料理教室 クオーレ（プライベートレッスン）")</f>
        <v>イタリア料理教室 クオーレ（プライベートレッスン）</v>
      </c>
      <c r="C127" s="3" t="str">
        <f>IFERROR(__xludf.DUMMYFUNCTION("""COMPUTED_VALUE"""),"https://cuore.hp.peraichi.com/")</f>
        <v>https://cuore.hp.peraichi.com/</v>
      </c>
      <c r="D127" s="1" t="str">
        <f>IFERROR(__xludf.DUMMYFUNCTION("""COMPUTED_VALUE"""),"△")</f>
        <v>△</v>
      </c>
      <c r="E127" s="1" t="str">
        <f>IFERROR(__xludf.DUMMYFUNCTION("""COMPUTED_VALUE"""),"ペライチドメインのマンツーマン個人料理教室のため")</f>
        <v>ペライチドメインのマンツーマン個人料理教室のため</v>
      </c>
      <c r="F127" s="4" t="s">
        <v>137</v>
      </c>
    </row>
    <row r="128" ht="15.75" customHeight="1">
      <c r="A128" s="2" t="str">
        <f t="shared" si="1"/>
        <v>1223</v>
      </c>
      <c r="B128" s="1" t="str">
        <f>IFERROR(__xludf.DUMMYFUNCTION("""COMPUTED_VALUE"""),"聴鈴心理相談室")</f>
        <v>聴鈴心理相談室</v>
      </c>
      <c r="C128" s="3" t="str">
        <f>IFERROR(__xludf.DUMMYFUNCTION("""COMPUTED_VALUE"""),"https://www.tinglingcounseling.com/")</f>
        <v>https://www.tinglingcounseling.com/</v>
      </c>
      <c r="D128" s="1" t="str">
        <f>IFERROR(__xludf.DUMMYFUNCTION("""COMPUTED_VALUE"""),"△")</f>
        <v>△</v>
      </c>
      <c r="E128" s="1" t="str">
        <f>IFERROR(__xludf.DUMMYFUNCTION("""COMPUTED_VALUE"""),"Wixドメインの中央区にある中国語対応個人心理相談室のため")</f>
        <v>Wixドメインの中央区にある中国語対応個人心理相談室のため</v>
      </c>
      <c r="F128" s="4" t="s">
        <v>138</v>
      </c>
    </row>
    <row r="129" ht="15.75" customHeight="1">
      <c r="A129" s="2" t="str">
        <f t="shared" si="1"/>
        <v>1224</v>
      </c>
      <c r="B129" s="1" t="str">
        <f>IFERROR(__xludf.DUMMYFUNCTION("""COMPUTED_VALUE"""),"まどろみの時間カウンセリングルーム")</f>
        <v>まどろみの時間カウンセリングルーム</v>
      </c>
      <c r="C129" s="3" t="str">
        <f>IFERROR(__xludf.DUMMYFUNCTION("""COMPUTED_VALUE"""),"https://madorominojikan.jimdofree.com/")</f>
        <v>https://madorominojikan.jimdofree.com/</v>
      </c>
      <c r="D129" s="1" t="str">
        <f>IFERROR(__xludf.DUMMYFUNCTION("""COMPUTED_VALUE"""),"△")</f>
        <v>△</v>
      </c>
      <c r="E129" s="1" t="str">
        <f>IFERROR(__xludf.DUMMYFUNCTION("""COMPUTED_VALUE"""),"Jimdoドメインの中央区完全予約制個人カウンセリングルームのため")</f>
        <v>Jimdoドメインの中央区完全予約制個人カウンセリングルームのため</v>
      </c>
      <c r="F129" s="4" t="s">
        <v>139</v>
      </c>
    </row>
    <row r="130" ht="15.75" customHeight="1">
      <c r="A130" s="2" t="str">
        <f t="shared" si="1"/>
        <v>1225</v>
      </c>
      <c r="B130" s="1" t="str">
        <f>IFERROR(__xludf.DUMMYFUNCTION("""COMPUTED_VALUE"""),"にぎのわっか（女性と子どものためのカウンセリングルーム）")</f>
        <v>にぎのわっか（女性と子どものためのカウンセリングルーム）</v>
      </c>
      <c r="C130" s="3" t="str">
        <f>IFERROR(__xludf.DUMMYFUNCTION("""COMPUTED_VALUE"""),"https://niginowakka.jimdofree.com/")</f>
        <v>https://niginowakka.jimdofree.com/</v>
      </c>
      <c r="D130" s="1" t="str">
        <f>IFERROR(__xludf.DUMMYFUNCTION("""COMPUTED_VALUE"""),"△")</f>
        <v>△</v>
      </c>
      <c r="E130" s="1" t="str">
        <f>IFERROR(__xludf.DUMMYFUNCTION("""COMPUTED_VALUE"""),"Jimdoドメインの中央区女性子ども特化型個人カウンセリングルームのため")</f>
        <v>Jimdoドメインの中央区女性子ども特化型個人カウンセリングルームのため</v>
      </c>
      <c r="F130" s="4" t="s">
        <v>140</v>
      </c>
    </row>
    <row r="131" ht="15.75" customHeight="1">
      <c r="A131" s="2" t="str">
        <f t="shared" si="1"/>
        <v>1226</v>
      </c>
      <c r="B131" s="1" t="str">
        <f>IFERROR(__xludf.DUMMYFUNCTION("""COMPUTED_VALUE"""),"鏡の部屋カウンセリングオフイス")</f>
        <v>鏡の部屋カウンセリングオフイス</v>
      </c>
      <c r="C131" s="3" t="str">
        <f>IFERROR(__xludf.DUMMYFUNCTION("""COMPUTED_VALUE"""),"https://blessk77.wixsite.com/website-1")</f>
        <v>https://blessk77.wixsite.com/website-1</v>
      </c>
      <c r="D131" s="1" t="str">
        <f>IFERROR(__xludf.DUMMYFUNCTION("""COMPUTED_VALUE"""),"△")</f>
        <v>△</v>
      </c>
      <c r="E131" s="1" t="str">
        <f>IFERROR(__xludf.DUMMYFUNCTION("""COMPUTED_VALUE"""),"Wixドメインの博多区精神分析的個人カウンセリングルームのため")</f>
        <v>Wixドメインの博多区精神分析的個人カウンセリングルームのため</v>
      </c>
      <c r="F131" s="4" t="s">
        <v>141</v>
      </c>
    </row>
    <row r="132" ht="15.75" customHeight="1">
      <c r="A132" s="2" t="str">
        <f t="shared" si="1"/>
        <v>1227</v>
      </c>
      <c r="B132" s="1" t="str">
        <f>IFERROR(__xludf.DUMMYFUNCTION("""COMPUTED_VALUE"""),"ハートケアカウンセラー 時枝正和")</f>
        <v>ハートケアカウンセラー 時枝正和</v>
      </c>
      <c r="C132" s="3" t="str">
        <f>IFERROR(__xludf.DUMMYFUNCTION("""COMPUTED_VALUE"""),"https://heartcare-tokieda.wixsite.com/tokieda/")</f>
        <v>https://heartcare-tokieda.wixsite.com/tokieda/</v>
      </c>
      <c r="D132" s="1" t="str">
        <f>IFERROR(__xludf.DUMMYFUNCTION("""COMPUTED_VALUE"""),"△")</f>
        <v>△</v>
      </c>
      <c r="E132" s="1" t="str">
        <f>IFERROR(__xludf.DUMMYFUNCTION("""COMPUTED_VALUE"""),"Wixドメインの博多区対面支援型個人カウンセリングルームのため")</f>
        <v>Wixドメインの博多区対面支援型個人カウンセリングルームのため</v>
      </c>
      <c r="F132" s="4" t="s">
        <v>142</v>
      </c>
    </row>
    <row r="133" ht="15.75" customHeight="1">
      <c r="A133" s="2" t="str">
        <f t="shared" si="1"/>
        <v>1228</v>
      </c>
      <c r="B133" s="1" t="str">
        <f>IFERROR(__xludf.DUMMYFUNCTION("""COMPUTED_VALUE"""),"プライベートサロン ナチュレ")</f>
        <v>プライベートサロン ナチュレ</v>
      </c>
      <c r="C133" s="3" t="str">
        <f>IFERROR(__xludf.DUMMYFUNCTION("""COMPUTED_VALUE"""),"https://na-ture.jimdofree.com/")</f>
        <v>https://na-ture.jimdofree.com/</v>
      </c>
      <c r="D133" s="1" t="str">
        <f>IFERROR(__xludf.DUMMYFUNCTION("""COMPUTED_VALUE"""),"△")</f>
        <v>△</v>
      </c>
      <c r="E133" s="1" t="str">
        <f>IFERROR(__xludf.DUMMYFUNCTION("""COMPUTED_VALUE"""),"Jimdoドメインの博多区女性専用完全予約制個人サロンのため")</f>
        <v>Jimdoドメインの博多区女性専用完全予約制個人サロンのため</v>
      </c>
      <c r="F133" s="4" t="s">
        <v>143</v>
      </c>
    </row>
    <row r="134" ht="15.75" customHeight="1">
      <c r="A134" s="2" t="str">
        <f t="shared" si="1"/>
        <v>1229</v>
      </c>
      <c r="B134" s="1" t="str">
        <f>IFERROR(__xludf.DUMMYFUNCTION("""COMPUTED_VALUE"""),"RK pilates studio")</f>
        <v>RK pilates studio</v>
      </c>
      <c r="C134" s="3" t="str">
        <f>IFERROR(__xludf.DUMMYFUNCTION("""COMPUTED_VALUE"""),"https://ricom1109.wixsite.com/pilates")</f>
        <v>https://ricom1109.wixsite.com/pilates</v>
      </c>
      <c r="D134" s="1" t="str">
        <f>IFERROR(__xludf.DUMMYFUNCTION("""COMPUTED_VALUE"""),"△")</f>
        <v>△</v>
      </c>
      <c r="E134" s="1" t="str">
        <f>IFERROR(__xludf.DUMMYFUNCTION("""COMPUTED_VALUE"""),"Wixドメインの中央区完全予約制個人ピラティススタジオのため")</f>
        <v>Wixドメインの中央区完全予約制個人ピラティススタジオのため</v>
      </c>
      <c r="F134" s="4" t="s">
        <v>144</v>
      </c>
    </row>
    <row r="135" ht="15.75" customHeight="1">
      <c r="A135" s="2" t="str">
        <f t="shared" si="1"/>
        <v>1230</v>
      </c>
      <c r="B135" s="1" t="str">
        <f>IFERROR(__xludf.DUMMYFUNCTION("""COMPUTED_VALUE"""),"Petit Pinna studio（プティ ピナ）")</f>
        <v>Petit Pinna studio（プティ ピナ）</v>
      </c>
      <c r="C135" s="3" t="str">
        <f>IFERROR(__xludf.DUMMYFUNCTION("""COMPUTED_VALUE"""),"https://petitpinnastudio.wixsite.com/petitpinnastudio")</f>
        <v>https://petitpinnastudio.wixsite.com/petitpinnastudio</v>
      </c>
      <c r="D135" s="1" t="str">
        <f>IFERROR(__xludf.DUMMYFUNCTION("""COMPUTED_VALUE"""),"△")</f>
        <v>△</v>
      </c>
      <c r="E135" s="1" t="str">
        <f>IFERROR(__xludf.DUMMYFUNCTION("""COMPUTED_VALUE"""),"Wixドメインの中央区女性専用完全予約制パーソナルピラティススタジオのため")</f>
        <v>Wixドメインの中央区女性専用完全予約制パーソナルピラティススタジオのため</v>
      </c>
      <c r="F135" s="4" t="s">
        <v>145</v>
      </c>
    </row>
    <row r="136" ht="15.75" customHeight="1">
      <c r="A136" s="2" t="str">
        <f t="shared" si="1"/>
        <v>1231</v>
      </c>
      <c r="B136" s="1" t="str">
        <f>IFERROR(__xludf.DUMMYFUNCTION("""COMPUTED_VALUE"""),"レインドロップ＆アロマテラピーサロン栞～shiori～")</f>
        <v>レインドロップ＆アロマテラピーサロン栞～shiori～</v>
      </c>
      <c r="C136" s="3" t="str">
        <f>IFERROR(__xludf.DUMMYFUNCTION("""COMPUTED_VALUE"""),"https://nyan2sky7.wixsite.com/salonshiori")</f>
        <v>https://nyan2sky7.wixsite.com/salonshiori</v>
      </c>
      <c r="D136" s="1" t="str">
        <f>IFERROR(__xludf.DUMMYFUNCTION("""COMPUTED_VALUE"""),"△")</f>
        <v>△</v>
      </c>
      <c r="E136" s="1" t="str">
        <f>IFERROR(__xludf.DUMMYFUNCTION("""COMPUTED_VALUE"""),"Wixドメインの博多区女性専用1日2名限定個人サロンのため")</f>
        <v>Wixドメインの博多区女性専用1日2名限定個人サロンのため</v>
      </c>
      <c r="F136" s="4" t="s">
        <v>146</v>
      </c>
    </row>
    <row r="137" ht="15.75" customHeight="1">
      <c r="A137" s="2" t="str">
        <f t="shared" si="1"/>
        <v>1232</v>
      </c>
      <c r="B137" s="1" t="str">
        <f>IFERROR(__xludf.DUMMYFUNCTION("""COMPUTED_VALUE"""),"整体院 善（早良区店）")</f>
        <v>整体院 善（早良区店）</v>
      </c>
      <c r="C137" s="3" t="str">
        <f>IFERROR(__xludf.DUMMYFUNCTION("""COMPUTED_VALUE"""),"https://seitaizen.hp.peraichi.com/fukuoka/")</f>
        <v>https://seitaizen.hp.peraichi.com/fukuoka/</v>
      </c>
      <c r="D137" s="1" t="str">
        <f>IFERROR(__xludf.DUMMYFUNCTION("""COMPUTED_VALUE"""),"△")</f>
        <v>△</v>
      </c>
      <c r="E137" s="1" t="str">
        <f>IFERROR(__xludf.DUMMYFUNCTION("""COMPUTED_VALUE"""),"ペライチドメインの福岡市早良区マンツーマン指導型個人整体院のため")</f>
        <v>ペライチドメインの福岡市早良区マンツーマン指導型個人整体院のため</v>
      </c>
      <c r="F137" s="4" t="s">
        <v>147</v>
      </c>
    </row>
    <row r="138" ht="15.75" customHeight="1">
      <c r="A138" s="2" t="str">
        <f t="shared" si="1"/>
        <v>1233</v>
      </c>
      <c r="B138" s="1" t="str">
        <f>IFERROR(__xludf.DUMMYFUNCTION("""COMPUTED_VALUE"""),"プライベートサロン micocoro（ミココロ）")</f>
        <v>プライベートサロン micocoro（ミココロ）</v>
      </c>
      <c r="C138" s="3" t="str">
        <f>IFERROR(__xludf.DUMMYFUNCTION("""COMPUTED_VALUE"""),"https://yuankoumiyu.wixsite.com/my-site")</f>
        <v>https://yuankoumiyu.wixsite.com/my-site</v>
      </c>
      <c r="D138" s="1" t="str">
        <f>IFERROR(__xludf.DUMMYFUNCTION("""COMPUTED_VALUE"""),"△")</f>
        <v>△</v>
      </c>
      <c r="E138" s="1" t="str">
        <f>IFERROR(__xludf.DUMMYFUNCTION("""COMPUTED_VALUE"""),"Wixドメインの福岡市城南区完全個室個人リンパサロンのため")</f>
        <v>Wixドメインの福岡市城南区完全個室個人リンパサロンのため</v>
      </c>
      <c r="F138" s="4" t="s">
        <v>148</v>
      </c>
    </row>
    <row r="139" ht="15.75" customHeight="1">
      <c r="A139" s="2" t="str">
        <f t="shared" si="1"/>
        <v>1234</v>
      </c>
      <c r="B139" s="1" t="str">
        <f>IFERROR(__xludf.DUMMYFUNCTION("""COMPUTED_VALUE"""),"noi －内臓もみ－")</f>
        <v>noi －内臓もみ－</v>
      </c>
      <c r="C139" s="3" t="str">
        <f>IFERROR(__xludf.DUMMYFUNCTION("""COMPUTED_VALUE"""),"https://rh0618n0108.wixsite.com/noi-naizo")</f>
        <v>https://rh0618n0108.wixsite.com/noi-naizo</v>
      </c>
      <c r="D139" s="1" t="str">
        <f>IFERROR(__xludf.DUMMYFUNCTION("""COMPUTED_VALUE"""),"△")</f>
        <v>△</v>
      </c>
      <c r="E139" s="1" t="str">
        <f>IFERROR(__xludf.DUMMYFUNCTION("""COMPUTED_VALUE"""),"Wixドメインの福岡市城南区完全予約制内臓ケア個人サロンのため")</f>
        <v>Wixドメインの福岡市城南区完全予約制内臓ケア個人サロンのため</v>
      </c>
      <c r="F139" s="4" t="s">
        <v>149</v>
      </c>
    </row>
    <row r="140" ht="15.75" customHeight="1">
      <c r="A140" s="2" t="str">
        <f t="shared" si="1"/>
        <v>1235</v>
      </c>
      <c r="B140" s="1" t="str">
        <f>IFERROR(__xludf.DUMMYFUNCTION("""COMPUTED_VALUE"""),"Private salon Rania（ラニア）")</f>
        <v>Private salon Rania（ラニア）</v>
      </c>
      <c r="C140" s="3" t="str">
        <f>IFERROR(__xludf.DUMMYFUNCTION("""COMPUTED_VALUE"""),"https://ranianailkaori.wixsite.com/rania")</f>
        <v>https://ranianailkaori.wixsite.com/rania</v>
      </c>
      <c r="D140" s="1" t="str">
        <f>IFERROR(__xludf.DUMMYFUNCTION("""COMPUTED_VALUE"""),"△")</f>
        <v>△</v>
      </c>
      <c r="E140" s="1" t="str">
        <f>IFERROR(__xludf.DUMMYFUNCTION("""COMPUTED_VALUE"""),"Wixドメインの福岡市南区個人リンパ美容プライベートサロンのため")</f>
        <v>Wixドメインの福岡市南区個人リンパ美容プライベートサロンのため</v>
      </c>
      <c r="F140" s="4" t="s">
        <v>150</v>
      </c>
    </row>
    <row r="141" ht="15.75" customHeight="1">
      <c r="A141" s="2" t="str">
        <f t="shared" si="1"/>
        <v>1236</v>
      </c>
      <c r="B141" s="1" t="str">
        <f>IFERROR(__xludf.DUMMYFUNCTION("""COMPUTED_VALUE"""),"プライベートサロン reethi（リーティ）")</f>
        <v>プライベートサロン reethi（リーティ）</v>
      </c>
      <c r="C141" s="3" t="str">
        <f>IFERROR(__xludf.DUMMYFUNCTION("""COMPUTED_VALUE"""),"https://reethi-k.jimdofree.com/")</f>
        <v>https://reethi-k.jimdofree.com/</v>
      </c>
      <c r="D141" s="1" t="str">
        <f>IFERROR(__xludf.DUMMYFUNCTION("""COMPUTED_VALUE"""),"△")</f>
        <v>△</v>
      </c>
      <c r="E141" s="1" t="str">
        <f>IFERROR(__xludf.DUMMYFUNCTION("""COMPUTED_VALUE"""),"Jimdoドメインの福岡市南区個人向け総合ケアプライベートサロンのため")</f>
        <v>Jimdoドメインの福岡市南区個人向け総合ケアプライベートサロンのため</v>
      </c>
      <c r="F141" s="4" t="s">
        <v>151</v>
      </c>
    </row>
    <row r="142" ht="15.75" customHeight="1">
      <c r="A142" s="2" t="str">
        <f t="shared" si="1"/>
        <v>1237</v>
      </c>
      <c r="B142" s="1" t="str">
        <f>IFERROR(__xludf.DUMMYFUNCTION("""COMPUTED_VALUE"""),"リラクゼーションサロン ninfea")</f>
        <v>リラクゼーションサロン ninfea</v>
      </c>
      <c r="C142" s="3" t="str">
        <f>IFERROR(__xludf.DUMMYFUNCTION("""COMPUTED_VALUE"""),"https://ninfeashinri20.jimdofree.com/")</f>
        <v>https://ninfeashinri20.jimdofree.com/</v>
      </c>
      <c r="D142" s="1" t="str">
        <f>IFERROR(__xludf.DUMMYFUNCTION("""COMPUTED_VALUE"""),"△")</f>
        <v>△</v>
      </c>
      <c r="E142" s="1" t="str">
        <f>IFERROR(__xludf.DUMMYFUNCTION("""COMPUTED_VALUE"""),"Jimdoドメインの東区完全予約制で心理カウンセリング中心の個人サロンのため")</f>
        <v>Jimdoドメインの東区完全予約制で心理カウンセリング中心の個人サロンのため</v>
      </c>
      <c r="F142" s="4" t="s">
        <v>152</v>
      </c>
    </row>
    <row r="143" ht="15.75" customHeight="1">
      <c r="A143" s="2" t="str">
        <f t="shared" si="1"/>
        <v>1238</v>
      </c>
      <c r="B143" s="1" t="str">
        <f>IFERROR(__xludf.DUMMYFUNCTION("""COMPUTED_VALUE"""),"心理カウンセリング hanafuru")</f>
        <v>心理カウンセリング hanafuru</v>
      </c>
      <c r="C143" s="3" t="str">
        <f>IFERROR(__xludf.DUMMYFUNCTION("""COMPUTED_VALUE"""),"https://hanafuru-2026.jimdofree.com/")</f>
        <v>https://hanafuru-2026.jimdofree.com/</v>
      </c>
      <c r="D143" s="1" t="str">
        <f>IFERROR(__xludf.DUMMYFUNCTION("""COMPUTED_VALUE"""),"△")</f>
        <v>△</v>
      </c>
      <c r="E143" s="1" t="str">
        <f>IFERROR(__xludf.DUMMYFUNCTION("""COMPUTED_VALUE"""),"Jimdoドメインの東区香椎で来談者中心療法の個人セッション提供のため")</f>
        <v>Jimdoドメインの東区香椎で来談者中心療法の個人セッション提供のため</v>
      </c>
      <c r="F143" s="4" t="s">
        <v>153</v>
      </c>
    </row>
    <row r="144" ht="15.75" customHeight="1">
      <c r="A144" s="2" t="str">
        <f t="shared" si="1"/>
        <v>1239</v>
      </c>
      <c r="B144" s="1" t="str">
        <f>IFERROR(__xludf.DUMMYFUNCTION("""COMPUTED_VALUE"""),"マラウェイコンディショニングサロン")</f>
        <v>マラウェイコンディショニングサロン</v>
      </c>
      <c r="C144" s="3" t="str">
        <f>IFERROR(__xludf.DUMMYFUNCTION("""COMPUTED_VALUE"""),"https://mullaway-seitai.hp.peraichi.com/")</f>
        <v>https://mullaway-seitai.hp.peraichi.com/</v>
      </c>
      <c r="D144" s="1" t="str">
        <f>IFERROR(__xludf.DUMMYFUNCTION("""COMPUTED_VALUE"""),"△")</f>
        <v>△</v>
      </c>
      <c r="E144" s="1" t="str">
        <f>IFERROR(__xludf.DUMMYFUNCTION("""COMPUTED_VALUE"""),"ペライチドメインの糸島市女性専用マンツーマン整体サロンのため")</f>
        <v>ペライチドメインの糸島市女性専用マンツーマン整体サロンのため</v>
      </c>
      <c r="F144" s="4" t="s">
        <v>154</v>
      </c>
    </row>
    <row r="145" ht="15.75" customHeight="1">
      <c r="A145" s="2" t="str">
        <f t="shared" si="1"/>
        <v>1240</v>
      </c>
      <c r="B145" s="1" t="str">
        <f>IFERROR(__xludf.DUMMYFUNCTION("""COMPUTED_VALUE"""),"パーソナルトレーニングスタジオ BodyBrace")</f>
        <v>パーソナルトレーニングスタジオ BodyBrace</v>
      </c>
      <c r="C145" s="3" t="str">
        <f>IFERROR(__xludf.DUMMYFUNCTION("""COMPUTED_VALUE"""),"https://bodybrace2018.wixsite.com/bodybrace")</f>
        <v>https://bodybrace2018.wixsite.com/bodybrace</v>
      </c>
      <c r="D145" s="1" t="str">
        <f>IFERROR(__xludf.DUMMYFUNCTION("""COMPUTED_VALUE"""),"△")</f>
        <v>△</v>
      </c>
      <c r="E145" s="1" t="str">
        <f>IFERROR(__xludf.DUMMYFUNCTION("""COMPUTED_VALUE"""),"Wixドメインの飯塚市完全予約制パーソナルジムのため")</f>
        <v>Wixドメインの飯塚市完全予約制パーソナルジムのため</v>
      </c>
      <c r="F145" s="4" t="s">
        <v>155</v>
      </c>
    </row>
    <row r="146" ht="15.75" customHeight="1">
      <c r="A146" s="2" t="str">
        <f t="shared" si="1"/>
        <v>1241</v>
      </c>
      <c r="B146" s="1" t="str">
        <f>IFERROR(__xludf.DUMMYFUNCTION("""COMPUTED_VALUE"""),"ライフステージケアサロン ビューティーサロン愛")</f>
        <v>ライフステージケアサロン ビューティーサロン愛</v>
      </c>
      <c r="C146" s="3" t="str">
        <f>IFERROR(__xludf.DUMMYFUNCTION("""COMPUTED_VALUE"""),"https://aikala.hp.peraichi.com/")</f>
        <v>https://aikala.hp.peraichi.com/</v>
      </c>
      <c r="D146" s="1" t="str">
        <f>IFERROR(__xludf.DUMMYFUNCTION("""COMPUTED_VALUE"""),"△")</f>
        <v>△</v>
      </c>
      <c r="E146" s="1" t="str">
        <f>IFERROR(__xludf.DUMMYFUNCTION("""COMPUTED_VALUE"""),"ペライチドメインの春日市カウンセリング併用個人サロンのため")</f>
        <v>ペライチドメインの春日市カウンセリング併用個人サロンのため</v>
      </c>
      <c r="F146" s="4" t="s">
        <v>156</v>
      </c>
    </row>
    <row r="147" ht="15.75" customHeight="1">
      <c r="A147" s="2" t="str">
        <f t="shared" si="1"/>
        <v>1242</v>
      </c>
      <c r="B147" s="1" t="str">
        <f>IFERROR(__xludf.DUMMYFUNCTION("""COMPUTED_VALUE"""),"やすらぎカウンセリングルーム")</f>
        <v>やすらぎカウンセリングルーム</v>
      </c>
      <c r="C147" s="3" t="str">
        <f>IFERROR(__xludf.DUMMYFUNCTION("""COMPUTED_VALUE"""),"https://jannedaarc-0618.jimdofree.com/")</f>
        <v>https://jannedaarc-0618.jimdofree.com/</v>
      </c>
      <c r="D147" s="1" t="str">
        <f>IFERROR(__xludf.DUMMYFUNCTION("""COMPUTED_VALUE"""),"△")</f>
        <v>△</v>
      </c>
      <c r="E147" s="1" t="str">
        <f>IFERROR(__xludf.DUMMYFUNCTION("""COMPUTED_VALUE"""),"Jimdoドメインの遠賀郡岡垣町にある小規模個人相談室のため")</f>
        <v>Jimdoドメインの遠賀郡岡垣町にある小規模個人相談室のため</v>
      </c>
      <c r="F147" s="4" t="s">
        <v>157</v>
      </c>
    </row>
    <row r="148" ht="15.75" customHeight="1">
      <c r="A148" s="2" t="str">
        <f t="shared" si="1"/>
        <v>1243</v>
      </c>
      <c r="B148" s="1" t="str">
        <f>IFERROR(__xludf.DUMMYFUNCTION("""COMPUTED_VALUE"""),"自由庵・和心堂")</f>
        <v>自由庵・和心堂</v>
      </c>
      <c r="C148" s="3" t="str">
        <f>IFERROR(__xludf.DUMMYFUNCTION("""COMPUTED_VALUE"""),"https://yanagawacity.wixsite.com/jiyuuanwashindou")</f>
        <v>https://yanagawacity.wixsite.com/jiyuuanwashindou</v>
      </c>
      <c r="D148" s="1" t="str">
        <f>IFERROR(__xludf.DUMMYFUNCTION("""COMPUTED_VALUE"""),"△")</f>
        <v>△</v>
      </c>
      <c r="E148" s="1" t="str">
        <f>IFERROR(__xludf.DUMMYFUNCTION("""COMPUTED_VALUE"""),"Wixドメインの柳川市整体＋カウンセリング個人サロンのため")</f>
        <v>Wixドメインの柳川市整体＋カウンセリング個人サロンのため</v>
      </c>
      <c r="F148" s="4" t="s">
        <v>158</v>
      </c>
    </row>
    <row r="149" ht="15.75" customHeight="1">
      <c r="A149" s="2" t="str">
        <f t="shared" si="1"/>
        <v>1244</v>
      </c>
      <c r="B149" s="1" t="str">
        <f>IFERROR(__xludf.DUMMYFUNCTION("""COMPUTED_VALUE"""),"平生堂整体院")</f>
        <v>平生堂整体院</v>
      </c>
      <c r="C149" s="3" t="str">
        <f>IFERROR(__xludf.DUMMYFUNCTION("""COMPUTED_VALUE"""),"https://heisei-do.jimdofree.com/")</f>
        <v>https://heisei-do.jimdofree.com/</v>
      </c>
      <c r="D149" s="1" t="str">
        <f>IFERROR(__xludf.DUMMYFUNCTION("""COMPUTED_VALUE"""),"△")</f>
        <v>△</v>
      </c>
      <c r="E149" s="1" t="str">
        <f>IFERROR(__xludf.DUMMYFUNCTION("""COMPUTED_VALUE"""),"Jimdoドメインの朝倉市院長手技主体の個人整体院のため")</f>
        <v>Jimdoドメインの朝倉市院長手技主体の個人整体院のため</v>
      </c>
      <c r="F149" s="4" t="s">
        <v>159</v>
      </c>
    </row>
    <row r="150" ht="15.75" customHeight="1">
      <c r="A150" s="2" t="str">
        <f t="shared" si="1"/>
        <v>1245</v>
      </c>
      <c r="B150" s="1" t="str">
        <f>IFERROR(__xludf.DUMMYFUNCTION("""COMPUTED_VALUE"""),"癒しの隠れ家サロン mori no Refujio")</f>
        <v>癒しの隠れ家サロン mori no Refujio</v>
      </c>
      <c r="C150" s="1" t="str">
        <f>IFERROR(__xludf.DUMMYFUNCTION("""COMPUTED_VALUE"""),"https://r.goope.jp/mori-no-refujio/]")</f>
        <v>https://r.goope.jp/mori-no-refujio/]</v>
      </c>
      <c r="D150" s="1" t="str">
        <f>IFERROR(__xludf.DUMMYFUNCTION("""COMPUTED_VALUE"""),"△")</f>
        <v>△</v>
      </c>
      <c r="E150" s="1" t="str">
        <f>IFERROR(__xludf.DUMMYFUNCTION("""COMPUTED_VALUE"""),"Goopeドメインの福岡市西区にある隠れ家整体×アロマ個人サロンのため")</f>
        <v>Goopeドメインの福岡市西区にある隠れ家整体×アロマ個人サロンのため</v>
      </c>
      <c r="F150" s="4" t="s">
        <v>160</v>
      </c>
    </row>
    <row r="151" ht="15.75" customHeight="1">
      <c r="A151" s="2" t="str">
        <f t="shared" si="1"/>
        <v>1246</v>
      </c>
      <c r="B151" s="1" t="str">
        <f>IFERROR(__xludf.DUMMYFUNCTION("""COMPUTED_VALUE"""),"Eyelash Salon Shiny")</f>
        <v>Eyelash Salon Shiny</v>
      </c>
      <c r="C151" s="3" t="str">
        <f>IFERROR(__xludf.DUMMYFUNCTION("""COMPUTED_VALUE"""),"https://o4rrh.crayonsite.info/")</f>
        <v>https://o4rrh.crayonsite.info/</v>
      </c>
      <c r="D151" s="1" t="str">
        <f>IFERROR(__xludf.DUMMYFUNCTION("""COMPUTED_VALUE"""),"△")</f>
        <v>△</v>
      </c>
      <c r="E151" s="1" t="str">
        <f>IFERROR(__xludf.DUMMYFUNCTION("""COMPUTED_VALUE"""),"Crayonドメインの北九州市にある完全個室自宅サロンで1対1施術のため")</f>
        <v>Crayonドメインの北九州市にある完全個室自宅サロンで1対1施術のため</v>
      </c>
      <c r="F151" s="4" t="s">
        <v>161</v>
      </c>
    </row>
    <row r="152" ht="15.75" customHeight="1">
      <c r="A152" s="2" t="str">
        <f t="shared" si="1"/>
        <v>1247</v>
      </c>
      <c r="B152" s="1" t="str">
        <f>IFERROR(__xludf.DUMMYFUNCTION("""COMPUTED_VALUE"""),"pear-salonリンパマッサージ")</f>
        <v>pear-salonリンパマッサージ</v>
      </c>
      <c r="C152" s="3" t="str">
        <f>IFERROR(__xludf.DUMMYFUNCTION("""COMPUTED_VALUE"""),"https://pear-salon.jimdofree.com/")</f>
        <v>https://pear-salon.jimdofree.com/</v>
      </c>
      <c r="D152" s="1" t="str">
        <f>IFERROR(__xludf.DUMMYFUNCTION("""COMPUTED_VALUE"""),"△")</f>
        <v>△</v>
      </c>
      <c r="E152" s="1" t="str">
        <f>IFERROR(__xludf.DUMMYFUNCTION("""COMPUTED_VALUE"""),"Jimdoドメインの久留米市女性専用自宅リンパ×よもぎ蒸し個人サロンのため")</f>
        <v>Jimdoドメインの久留米市女性専用自宅リンパ×よもぎ蒸し個人サロンのため</v>
      </c>
      <c r="F152" s="4" t="s">
        <v>162</v>
      </c>
    </row>
    <row r="153" ht="15.75" customHeight="1">
      <c r="A153" s="2" t="str">
        <f t="shared" si="1"/>
        <v>1248</v>
      </c>
      <c r="B153" s="1" t="str">
        <f>IFERROR(__xludf.DUMMYFUNCTION("""COMPUTED_VALUE"""),"リラクゼーションくるる")</f>
        <v>リラクゼーションくるる</v>
      </c>
      <c r="C153" s="3" t="str">
        <f>IFERROR(__xludf.DUMMYFUNCTION("""COMPUTED_VALUE"""),"https://kurururelax.jimdofree.com/")</f>
        <v>https://kurururelax.jimdofree.com/</v>
      </c>
      <c r="D153" s="1" t="str">
        <f>IFERROR(__xludf.DUMMYFUNCTION("""COMPUTED_VALUE"""),"△")</f>
        <v>△</v>
      </c>
      <c r="E153" s="1" t="str">
        <f>IFERROR(__xludf.DUMMYFUNCTION("""COMPUTED_VALUE"""),"Jimdoドメインの遠賀郡水巻町1対1対応の大人隠れ家自宅サロンのため")</f>
        <v>Jimdoドメインの遠賀郡水巻町1対1対応の大人隠れ家自宅サロンのため</v>
      </c>
      <c r="F153" s="4" t="s">
        <v>163</v>
      </c>
    </row>
    <row r="154" ht="15.75" customHeight="1">
      <c r="A154" s="2" t="str">
        <f t="shared" si="1"/>
        <v>1249</v>
      </c>
      <c r="B154" s="1" t="str">
        <f>IFERROR(__xludf.DUMMYFUNCTION("""COMPUTED_VALUE"""),"気まぐれカウンセラーみかうさぎの心のエステ")</f>
        <v>気まぐれカウンセラーみかうさぎの心のエステ</v>
      </c>
      <c r="C154" s="3" t="str">
        <f>IFERROR(__xludf.DUMMYFUNCTION("""COMPUTED_VALUE"""),"https://mikausagi.amebaownd.com/")</f>
        <v>https://mikausagi.amebaownd.com/</v>
      </c>
      <c r="D154" s="1" t="str">
        <f>IFERROR(__xludf.DUMMYFUNCTION("""COMPUTED_VALUE"""),"△")</f>
        <v>△</v>
      </c>
      <c r="E154" s="1" t="str">
        <f>IFERROR(__xludf.DUMMYFUNCTION("""COMPUTED_VALUE"""),"Ameba Owndドメインの個人カウンセリングで対話セッション中心のため")</f>
        <v>Ameba Owndドメインの個人カウンセリングで対話セッション中心のため</v>
      </c>
      <c r="F154" s="4" t="s">
        <v>164</v>
      </c>
    </row>
    <row r="155" ht="15.75" customHeight="1">
      <c r="A155" s="2" t="str">
        <f t="shared" si="1"/>
        <v>1250</v>
      </c>
      <c r="B155" s="1" t="str">
        <f>IFERROR(__xludf.DUMMYFUNCTION("""COMPUTED_VALUE"""),"Hikari.ラボ")</f>
        <v>Hikari.ラボ</v>
      </c>
      <c r="C155" s="3" t="str">
        <f>IFERROR(__xludf.DUMMYFUNCTION("""COMPUTED_VALUE"""),"https://yuka-kazokumap.hp.peraichi.com/")</f>
        <v>https://yuka-kazokumap.hp.peraichi.com/</v>
      </c>
      <c r="D155" s="1" t="str">
        <f>IFERROR(__xludf.DUMMYFUNCTION("""COMPUTED_VALUE"""),"△")</f>
        <v>△</v>
      </c>
      <c r="E155" s="1" t="str">
        <f>IFERROR(__xludf.DUMMYFUNCTION("""COMPUTED_VALUE"""),"ペライチドメインの心身調和を目指す個人ラボで呼吸法等支援のため")</f>
        <v>ペライチドメインの心身調和を目指す個人ラボで呼吸法等支援のため</v>
      </c>
      <c r="F155" s="4" t="s">
        <v>165</v>
      </c>
    </row>
    <row r="156" ht="15.75" customHeight="1">
      <c r="A156" s="2" t="str">
        <f t="shared" si="1"/>
        <v>1251</v>
      </c>
      <c r="B156" s="1" t="str">
        <f>IFERROR(__xludf.DUMMYFUNCTION("""COMPUTED_VALUE"""),"yoga studio eka")</f>
        <v>yoga studio eka</v>
      </c>
      <c r="C156" s="3" t="str">
        <f>IFERROR(__xludf.DUMMYFUNCTION("""COMPUTED_VALUE"""),"https://yogaeka.jimdofree.com/")</f>
        <v>https://yogaeka.jimdofree.com/</v>
      </c>
      <c r="D156" s="1" t="str">
        <f>IFERROR(__xludf.DUMMYFUNCTION("""COMPUTED_VALUE"""),"△")</f>
        <v>△</v>
      </c>
      <c r="E156" s="1" t="str">
        <f>IFERROR(__xludf.DUMMYFUNCTION("""COMPUTED_VALUE"""),"Jimdoドメインの福岡市南区完全個室プライベートヨガ個人スタジオのため")</f>
        <v>Jimdoドメインの福岡市南区完全個室プライベートヨガ個人スタジオのため</v>
      </c>
      <c r="F156" s="4" t="s">
        <v>166</v>
      </c>
    </row>
    <row r="157" ht="15.75" customHeight="1">
      <c r="A157" s="2" t="str">
        <f t="shared" si="1"/>
        <v>1252</v>
      </c>
      <c r="B157" s="1" t="str">
        <f>IFERROR(__xludf.DUMMYFUNCTION("""COMPUTED_VALUE"""),"MIZOROヨガカウンセリングルーム")</f>
        <v>MIZOROヨガカウンセリングルーム</v>
      </c>
      <c r="C157" s="3" t="str">
        <f>IFERROR(__xludf.DUMMYFUNCTION("""COMPUTED_VALUE"""),"https://mizoro-k55.jimdofree.com/")</f>
        <v>https://mizoro-k55.jimdofree.com/</v>
      </c>
      <c r="D157" s="1" t="str">
        <f>IFERROR(__xludf.DUMMYFUNCTION("""COMPUTED_VALUE"""),"△")</f>
        <v>△</v>
      </c>
      <c r="E157" s="1" t="str">
        <f>IFERROR(__xludf.DUMMYFUNCTION("""COMPUTED_VALUE"""),"Jimdoドメインの完全予約制でヨガ×カウンセリング個人支援のため")</f>
        <v>Jimdoドメインの完全予約制でヨガ×カウンセリング個人支援のため</v>
      </c>
      <c r="F157" s="4" t="s">
        <v>167</v>
      </c>
    </row>
    <row r="158" ht="15.75" customHeight="1">
      <c r="A158" s="2" t="str">
        <f t="shared" si="1"/>
        <v>1253</v>
      </c>
      <c r="B158" s="1" t="str">
        <f>IFERROR(__xludf.DUMMYFUNCTION("""COMPUTED_VALUE"""),"未来実現のための 90日自己変容コーチング")</f>
        <v>未来実現のための 90日自己変容コーチング</v>
      </c>
      <c r="C158" s="3" t="str">
        <f>IFERROR(__xludf.DUMMYFUNCTION("""COMPUTED_VALUE"""),"https://butterfly-coaching.hp.peraichi.com/")</f>
        <v>https://butterfly-coaching.hp.peraichi.com/</v>
      </c>
      <c r="D158" s="1" t="str">
        <f>IFERROR(__xludf.DUMMYFUNCTION("""COMPUTED_VALUE"""),"△")</f>
        <v>△</v>
      </c>
      <c r="E158" s="1" t="str">
        <f>IFERROR(__xludf.DUMMYFUNCTION("""COMPUTED_VALUE"""),"ペライチドメインのマンツーマン個人コーチングプログラムのため")</f>
        <v>ペライチドメインのマンツーマン個人コーチングプログラムのため</v>
      </c>
      <c r="F158" s="4" t="s">
        <v>168</v>
      </c>
    </row>
    <row r="159" ht="15.75" customHeight="1">
      <c r="A159" s="2" t="str">
        <f t="shared" si="1"/>
        <v>1254</v>
      </c>
      <c r="B159" s="1" t="str">
        <f>IFERROR(__xludf.DUMMYFUNCTION("""COMPUTED_VALUE"""),"向日葵（恋愛婚活カウンセリング）")</f>
        <v>向日葵（恋愛婚活カウンセリング）</v>
      </c>
      <c r="C159" s="3" t="str">
        <f>IFERROR(__xludf.DUMMYFUNCTION("""COMPUTED_VALUE"""),"https://awh-sensai.hp.peraichi.com/")</f>
        <v>https://awh-sensai.hp.peraichi.com/</v>
      </c>
      <c r="D159" s="1" t="str">
        <f>IFERROR(__xludf.DUMMYFUNCTION("""COMPUTED_VALUE"""),"△")</f>
        <v>△</v>
      </c>
      <c r="E159" s="1" t="str">
        <f>IFERROR(__xludf.DUMMYFUNCTION("""COMPUTED_VALUE"""),"ペライチドメインの1日1名限定恋愛婚活カウンセリング個人運営のため")</f>
        <v>ペライチドメインの1日1名限定恋愛婚活カウンセリング個人運営のため</v>
      </c>
      <c r="F159" s="4" t="s">
        <v>169</v>
      </c>
    </row>
    <row r="160" ht="15.75" customHeight="1">
      <c r="A160" s="2" t="str">
        <f t="shared" si="1"/>
        <v>1255</v>
      </c>
      <c r="B160" s="1" t="str">
        <f>IFERROR(__xludf.DUMMYFUNCTION("""COMPUTED_VALUE"""),"Office Your Partner")</f>
        <v>Office Your Partner</v>
      </c>
      <c r="C160" s="3" t="str">
        <f>IFERROR(__xludf.DUMMYFUNCTION("""COMPUTED_VALUE"""),"https://y-nlp-partner.hp.peraichi.com/")</f>
        <v>https://y-nlp-partner.hp.peraichi.com/</v>
      </c>
      <c r="D160" s="1" t="str">
        <f>IFERROR(__xludf.DUMMYFUNCTION("""COMPUTED_VALUE"""),"△")</f>
        <v>△</v>
      </c>
      <c r="E160" s="1" t="str">
        <f>IFERROR(__xludf.DUMMYFUNCTION("""COMPUTED_VALUE"""),"ペライチドメインの個人コーチング・カウンセリング支援のため")</f>
        <v>ペライチドメインの個人コーチング・カウンセリング支援のため</v>
      </c>
      <c r="F160" s="4" t="s">
        <v>170</v>
      </c>
    </row>
    <row r="161" ht="15.75" customHeight="1">
      <c r="A161" s="2" t="str">
        <f t="shared" si="1"/>
        <v>1256</v>
      </c>
      <c r="B161" s="1" t="str">
        <f>IFERROR(__xludf.DUMMYFUNCTION("""COMPUTED_VALUE"""),"はんなり（嘉麻市イーマサウンド整体）")</f>
        <v>はんなり（嘉麻市イーマサウンド整体）</v>
      </c>
      <c r="C161" s="3" t="str">
        <f>IFERROR(__xludf.DUMMYFUNCTION("""COMPUTED_VALUE"""),"https://hananari.jimdofree.com/")</f>
        <v>https://hananari.jimdofree.com/</v>
      </c>
      <c r="D161" s="1" t="str">
        <f>IFERROR(__xludf.DUMMYFUNCTION("""COMPUTED_VALUE"""),"△")</f>
        <v>△</v>
      </c>
      <c r="E161" s="1" t="str">
        <f>IFERROR(__xludf.DUMMYFUNCTION("""COMPUTED_VALUE"""),"Jimdoドメインの嘉麻市ヒーリング×整体の個人サロンのため")</f>
        <v>Jimdoドメインの嘉麻市ヒーリング×整体の個人サロンのため</v>
      </c>
      <c r="F161" s="4" t="s">
        <v>171</v>
      </c>
    </row>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5"/>
    <hyperlink r:id="rId2" ref="F5"/>
    <hyperlink r:id="rId3" ref="C6"/>
    <hyperlink r:id="rId4" ref="F6"/>
    <hyperlink r:id="rId5" ref="C7"/>
    <hyperlink r:id="rId6" ref="F7"/>
    <hyperlink r:id="rId7" ref="C8"/>
    <hyperlink r:id="rId8" ref="F8"/>
    <hyperlink r:id="rId9" ref="C9"/>
    <hyperlink r:id="rId10" ref="F9"/>
    <hyperlink r:id="rId11" ref="C10"/>
    <hyperlink r:id="rId12" ref="F10"/>
    <hyperlink r:id="rId13" ref="C11"/>
    <hyperlink r:id="rId14" ref="F11"/>
    <hyperlink r:id="rId15" ref="C12"/>
    <hyperlink r:id="rId16" ref="F12"/>
    <hyperlink r:id="rId17" ref="C13"/>
    <hyperlink r:id="rId18" ref="F13"/>
    <hyperlink r:id="rId19" ref="C14"/>
    <hyperlink r:id="rId20" ref="F14"/>
    <hyperlink r:id="rId21" ref="C15"/>
    <hyperlink r:id="rId22" ref="F15"/>
    <hyperlink r:id="rId23" ref="C16"/>
    <hyperlink r:id="rId24" ref="F16"/>
    <hyperlink r:id="rId25" ref="C17"/>
    <hyperlink r:id="rId26" ref="F17"/>
    <hyperlink r:id="rId27" ref="C18"/>
    <hyperlink r:id="rId28" ref="F18"/>
    <hyperlink r:id="rId29" ref="C19"/>
    <hyperlink r:id="rId30" ref="F19"/>
    <hyperlink r:id="rId31" ref="C20"/>
    <hyperlink r:id="rId32" ref="F20"/>
    <hyperlink r:id="rId33" ref="C21"/>
    <hyperlink r:id="rId34" ref="F21"/>
    <hyperlink r:id="rId35" ref="C22"/>
    <hyperlink r:id="rId36" ref="F22"/>
    <hyperlink r:id="rId37" ref="C23"/>
    <hyperlink r:id="rId38" ref="F23"/>
    <hyperlink r:id="rId39" ref="C24"/>
    <hyperlink r:id="rId40" ref="F24"/>
    <hyperlink r:id="rId41" ref="C25"/>
    <hyperlink r:id="rId42" ref="F25"/>
    <hyperlink r:id="rId43" ref="C26"/>
    <hyperlink r:id="rId44" ref="F26"/>
    <hyperlink r:id="rId45" ref="F27"/>
    <hyperlink r:id="rId46" ref="C28"/>
    <hyperlink r:id="rId47" ref="F28"/>
    <hyperlink r:id="rId48" ref="C29"/>
    <hyperlink r:id="rId49" ref="F29"/>
    <hyperlink r:id="rId50" ref="C30"/>
    <hyperlink r:id="rId51" ref="F30"/>
    <hyperlink r:id="rId52" ref="C31"/>
    <hyperlink r:id="rId53" ref="F31"/>
    <hyperlink r:id="rId54" ref="C32"/>
    <hyperlink r:id="rId55" ref="F32"/>
    <hyperlink r:id="rId56" ref="C33"/>
    <hyperlink r:id="rId57" ref="F33"/>
    <hyperlink r:id="rId58" ref="C34"/>
    <hyperlink r:id="rId59" ref="F34"/>
    <hyperlink r:id="rId60" ref="C35"/>
    <hyperlink r:id="rId61" ref="F35"/>
    <hyperlink r:id="rId62" ref="C36"/>
    <hyperlink r:id="rId63" ref="F36"/>
    <hyperlink r:id="rId64" ref="C37"/>
    <hyperlink r:id="rId65" ref="F37"/>
    <hyperlink r:id="rId66" ref="C38"/>
    <hyperlink r:id="rId67" ref="F38"/>
    <hyperlink r:id="rId68" ref="C39"/>
    <hyperlink r:id="rId69" ref="F39"/>
    <hyperlink r:id="rId70" ref="C40"/>
    <hyperlink r:id="rId71" ref="F40"/>
    <hyperlink r:id="rId72" ref="C41"/>
    <hyperlink r:id="rId73" ref="F41"/>
    <hyperlink r:id="rId74" ref="C42"/>
    <hyperlink r:id="rId75" ref="F42"/>
    <hyperlink r:id="rId76" ref="C43"/>
    <hyperlink r:id="rId77" ref="F43"/>
    <hyperlink r:id="rId78" ref="C44"/>
    <hyperlink r:id="rId79" ref="F44"/>
    <hyperlink r:id="rId80" ref="C45"/>
    <hyperlink r:id="rId81" ref="F45"/>
    <hyperlink r:id="rId82" ref="C46"/>
    <hyperlink r:id="rId83" ref="F46"/>
    <hyperlink r:id="rId84" ref="C47"/>
    <hyperlink r:id="rId85" ref="F47"/>
    <hyperlink r:id="rId86" ref="C48"/>
    <hyperlink r:id="rId87" ref="F48"/>
    <hyperlink r:id="rId88" ref="C49"/>
    <hyperlink r:id="rId89" ref="F49"/>
    <hyperlink r:id="rId90" ref="C50"/>
    <hyperlink r:id="rId91" ref="F50"/>
    <hyperlink r:id="rId92" ref="C51"/>
    <hyperlink r:id="rId93" ref="F51"/>
    <hyperlink r:id="rId94" ref="C52"/>
    <hyperlink r:id="rId95" ref="F52"/>
    <hyperlink r:id="rId96" ref="C53"/>
    <hyperlink r:id="rId97" ref="F53"/>
    <hyperlink r:id="rId98" ref="C54"/>
    <hyperlink r:id="rId99" ref="F54"/>
    <hyperlink r:id="rId100" ref="C55"/>
    <hyperlink r:id="rId101" ref="F55"/>
    <hyperlink r:id="rId102" ref="C56"/>
    <hyperlink r:id="rId103" ref="F56"/>
    <hyperlink r:id="rId104" ref="C57"/>
    <hyperlink r:id="rId105" ref="F57"/>
    <hyperlink r:id="rId106" ref="C58"/>
    <hyperlink r:id="rId107" ref="F58"/>
    <hyperlink r:id="rId108" ref="C59"/>
    <hyperlink r:id="rId109" ref="F59"/>
    <hyperlink r:id="rId110" ref="C60"/>
    <hyperlink r:id="rId111" ref="F60"/>
    <hyperlink r:id="rId112" ref="C61"/>
    <hyperlink r:id="rId113" ref="F61"/>
    <hyperlink r:id="rId114" ref="C62"/>
    <hyperlink r:id="rId115" ref="F62"/>
    <hyperlink r:id="rId116" ref="C63"/>
    <hyperlink r:id="rId117" ref="F63"/>
    <hyperlink r:id="rId118" ref="C64"/>
    <hyperlink r:id="rId119" ref="F64"/>
    <hyperlink r:id="rId120" ref="C65"/>
    <hyperlink r:id="rId121" ref="F65"/>
    <hyperlink r:id="rId122" ref="C66"/>
    <hyperlink r:id="rId123" ref="F66"/>
    <hyperlink r:id="rId124" ref="C67"/>
    <hyperlink r:id="rId125" ref="F67"/>
    <hyperlink r:id="rId126" ref="C68"/>
    <hyperlink r:id="rId127" ref="F68"/>
    <hyperlink r:id="rId128" ref="C69"/>
    <hyperlink r:id="rId129" ref="F69"/>
    <hyperlink r:id="rId130" ref="C70"/>
    <hyperlink r:id="rId131" ref="F70"/>
    <hyperlink r:id="rId132" ref="C71"/>
    <hyperlink r:id="rId133" ref="F71"/>
    <hyperlink r:id="rId134" ref="C72"/>
    <hyperlink r:id="rId135" ref="F72"/>
    <hyperlink r:id="rId136" ref="C73"/>
    <hyperlink r:id="rId137" ref="F73"/>
    <hyperlink r:id="rId138" ref="C74"/>
    <hyperlink r:id="rId139" ref="F74"/>
    <hyperlink r:id="rId140" ref="C75"/>
    <hyperlink r:id="rId141" ref="F75"/>
    <hyperlink r:id="rId142" ref="C76"/>
    <hyperlink r:id="rId143" ref="F76"/>
    <hyperlink r:id="rId144" ref="C77"/>
    <hyperlink r:id="rId145" ref="F77"/>
    <hyperlink r:id="rId146" ref="C78"/>
    <hyperlink r:id="rId147" ref="F78"/>
    <hyperlink r:id="rId148" ref="C79"/>
    <hyperlink r:id="rId149" ref="F79"/>
    <hyperlink r:id="rId150" ref="C80"/>
    <hyperlink r:id="rId151" ref="F80"/>
    <hyperlink r:id="rId152" ref="C81"/>
    <hyperlink r:id="rId153" ref="F81"/>
    <hyperlink r:id="rId154" ref="C82"/>
    <hyperlink r:id="rId155" ref="F82"/>
    <hyperlink r:id="rId156" ref="C83"/>
    <hyperlink r:id="rId157" ref="F83"/>
    <hyperlink r:id="rId158" ref="C84"/>
    <hyperlink r:id="rId159" ref="F84"/>
    <hyperlink r:id="rId160" ref="C85"/>
    <hyperlink r:id="rId161" ref="F85"/>
    <hyperlink r:id="rId162" ref="C86"/>
    <hyperlink r:id="rId163" ref="F86"/>
    <hyperlink r:id="rId164" ref="C87"/>
    <hyperlink r:id="rId165" ref="F87"/>
    <hyperlink r:id="rId166" ref="C88"/>
    <hyperlink r:id="rId167" ref="F88"/>
    <hyperlink r:id="rId168" ref="C89"/>
    <hyperlink r:id="rId169" ref="F89"/>
    <hyperlink r:id="rId170" ref="C90"/>
    <hyperlink r:id="rId171" ref="F90"/>
    <hyperlink r:id="rId172" ref="C91"/>
    <hyperlink r:id="rId173" ref="F91"/>
    <hyperlink r:id="rId174" ref="C92"/>
    <hyperlink r:id="rId175" ref="F92"/>
    <hyperlink r:id="rId176" ref="C93"/>
    <hyperlink r:id="rId177" ref="F93"/>
    <hyperlink r:id="rId178" ref="C94"/>
    <hyperlink r:id="rId179" ref="F94"/>
    <hyperlink r:id="rId180" ref="C95"/>
    <hyperlink r:id="rId181" ref="F95"/>
    <hyperlink r:id="rId182" ref="C96"/>
    <hyperlink r:id="rId183" ref="F96"/>
    <hyperlink r:id="rId184" ref="C97"/>
    <hyperlink r:id="rId185" ref="F97"/>
    <hyperlink r:id="rId186" ref="C98"/>
    <hyperlink r:id="rId187" ref="F98"/>
    <hyperlink r:id="rId188" ref="C99"/>
    <hyperlink r:id="rId189" ref="F99"/>
    <hyperlink r:id="rId190" ref="C100"/>
    <hyperlink r:id="rId191" ref="F100"/>
    <hyperlink r:id="rId192" ref="C101"/>
    <hyperlink r:id="rId193" ref="F101"/>
    <hyperlink r:id="rId194" ref="C102"/>
    <hyperlink r:id="rId195" ref="F102"/>
    <hyperlink r:id="rId196" ref="C103"/>
    <hyperlink r:id="rId197" ref="F103"/>
    <hyperlink r:id="rId198" ref="C104"/>
    <hyperlink r:id="rId199" ref="F104"/>
    <hyperlink r:id="rId200" ref="C105"/>
    <hyperlink r:id="rId201" ref="F105"/>
    <hyperlink r:id="rId202" ref="C106"/>
    <hyperlink r:id="rId203" ref="F106"/>
    <hyperlink r:id="rId204" ref="C107"/>
    <hyperlink r:id="rId205" ref="F107"/>
    <hyperlink r:id="rId206" ref="C108"/>
    <hyperlink r:id="rId207" ref="F108"/>
    <hyperlink r:id="rId208" ref="C109"/>
    <hyperlink r:id="rId209" ref="F109"/>
    <hyperlink r:id="rId210" ref="C110"/>
    <hyperlink r:id="rId211" ref="F110"/>
    <hyperlink r:id="rId212" ref="C111"/>
    <hyperlink r:id="rId213" ref="F111"/>
    <hyperlink r:id="rId214" ref="C112"/>
    <hyperlink r:id="rId215" ref="F112"/>
    <hyperlink r:id="rId216" ref="C113"/>
    <hyperlink r:id="rId217" ref="F113"/>
    <hyperlink r:id="rId218" ref="C114"/>
    <hyperlink r:id="rId219" ref="F114"/>
    <hyperlink r:id="rId220" ref="C115"/>
    <hyperlink r:id="rId221" ref="F115"/>
    <hyperlink r:id="rId222" ref="C116"/>
    <hyperlink r:id="rId223" ref="F116"/>
    <hyperlink r:id="rId224" ref="C117"/>
    <hyperlink r:id="rId225" ref="F117"/>
    <hyperlink r:id="rId226" ref="C118"/>
    <hyperlink r:id="rId227" ref="F118"/>
    <hyperlink r:id="rId228" ref="C119"/>
    <hyperlink r:id="rId229" ref="F119"/>
    <hyperlink r:id="rId230" ref="C120"/>
    <hyperlink r:id="rId231" ref="F120"/>
    <hyperlink r:id="rId232" ref="C121"/>
    <hyperlink r:id="rId233" ref="F121"/>
    <hyperlink r:id="rId234" ref="C122"/>
    <hyperlink r:id="rId235" ref="F122"/>
    <hyperlink r:id="rId236" ref="C123"/>
    <hyperlink r:id="rId237" ref="F123"/>
    <hyperlink r:id="rId238" ref="C124"/>
    <hyperlink r:id="rId239" ref="F124"/>
    <hyperlink r:id="rId240" ref="C125"/>
    <hyperlink r:id="rId241" ref="F125"/>
    <hyperlink r:id="rId242" ref="C126"/>
    <hyperlink r:id="rId243" ref="F126"/>
    <hyperlink r:id="rId244" ref="C127"/>
    <hyperlink r:id="rId245" ref="F127"/>
    <hyperlink r:id="rId246" ref="C128"/>
    <hyperlink r:id="rId247" ref="F128"/>
    <hyperlink r:id="rId248" ref="C129"/>
    <hyperlink r:id="rId249" ref="F129"/>
    <hyperlink r:id="rId250" ref="C130"/>
    <hyperlink r:id="rId251" ref="F130"/>
    <hyperlink r:id="rId252" ref="C131"/>
    <hyperlink r:id="rId253" ref="F131"/>
    <hyperlink r:id="rId254" ref="C132"/>
    <hyperlink r:id="rId255" ref="F132"/>
    <hyperlink r:id="rId256" ref="C133"/>
    <hyperlink r:id="rId257" ref="F133"/>
    <hyperlink r:id="rId258" ref="C134"/>
    <hyperlink r:id="rId259" ref="F134"/>
    <hyperlink r:id="rId260" ref="C135"/>
    <hyperlink r:id="rId261" ref="F135"/>
    <hyperlink r:id="rId262" ref="C136"/>
    <hyperlink r:id="rId263" ref="F136"/>
    <hyperlink r:id="rId264" ref="C137"/>
    <hyperlink r:id="rId265" ref="F137"/>
    <hyperlink r:id="rId266" ref="C138"/>
    <hyperlink r:id="rId267" ref="F138"/>
    <hyperlink r:id="rId268" ref="C139"/>
    <hyperlink r:id="rId269" ref="F139"/>
    <hyperlink r:id="rId270" ref="C140"/>
    <hyperlink r:id="rId271" ref="F140"/>
    <hyperlink r:id="rId272" ref="C141"/>
    <hyperlink r:id="rId273" ref="F141"/>
    <hyperlink r:id="rId274" ref="C142"/>
    <hyperlink r:id="rId275" ref="F142"/>
    <hyperlink r:id="rId276" ref="C143"/>
    <hyperlink r:id="rId277" ref="F143"/>
    <hyperlink r:id="rId278" ref="C144"/>
    <hyperlink r:id="rId279" ref="F144"/>
    <hyperlink r:id="rId280" ref="C145"/>
    <hyperlink r:id="rId281" ref="F145"/>
    <hyperlink r:id="rId282" ref="C146"/>
    <hyperlink r:id="rId283" ref="F146"/>
    <hyperlink r:id="rId284" ref="C147"/>
    <hyperlink r:id="rId285" ref="F147"/>
    <hyperlink r:id="rId286" ref="C148"/>
    <hyperlink r:id="rId287" ref="F148"/>
    <hyperlink r:id="rId288" ref="C149"/>
    <hyperlink r:id="rId289" ref="F149"/>
    <hyperlink r:id="rId290" ref="F150"/>
    <hyperlink r:id="rId291" ref="C151"/>
    <hyperlink r:id="rId292" ref="F151"/>
    <hyperlink r:id="rId293" ref="C152"/>
    <hyperlink r:id="rId294" ref="F152"/>
    <hyperlink r:id="rId295" ref="C153"/>
    <hyperlink r:id="rId296" ref="F153"/>
    <hyperlink r:id="rId297" ref="C154"/>
    <hyperlink r:id="rId298" ref="F154"/>
    <hyperlink r:id="rId299" ref="C155"/>
    <hyperlink r:id="rId300" ref="F155"/>
    <hyperlink r:id="rId301" ref="C156"/>
    <hyperlink r:id="rId302" ref="F156"/>
    <hyperlink r:id="rId303" ref="C157"/>
    <hyperlink r:id="rId304" ref="F157"/>
    <hyperlink r:id="rId305" ref="C158"/>
    <hyperlink r:id="rId306" ref="F158"/>
    <hyperlink r:id="rId307" ref="C159"/>
    <hyperlink r:id="rId308" ref="F159"/>
    <hyperlink r:id="rId309" ref="C160"/>
    <hyperlink r:id="rId310" ref="F160"/>
    <hyperlink r:id="rId311" ref="C161"/>
    <hyperlink r:id="rId312" ref="F161"/>
  </hyperlinks>
  <printOptions/>
  <pageMargins bottom="1.0" footer="0.0" header="0.0" left="0.75" right="0.75" top="1.0"/>
  <pageSetup orientation="landscape"/>
  <drawing r:id="rId31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c r="I1" s="1" t="s">
        <v>8</v>
      </c>
      <c r="J1" s="1" t="s">
        <v>9</v>
      </c>
      <c r="K1" s="1" t="s">
        <v>10</v>
      </c>
      <c r="L1" s="1" t="s">
        <v>172</v>
      </c>
    </row>
    <row r="4">
      <c r="B4" s="1" t="str">
        <f>IFERROR(__xludf.DUMMYFUNCTION("QUERY('福岡2'!A:D, ""select * where C='△'"", 1)"),"名称")</f>
        <v>名称</v>
      </c>
      <c r="C4" s="1" t="str">
        <f>IFERROR(__xludf.DUMMYFUNCTION("""COMPUTED_VALUE"""),"URL")</f>
        <v>URL</v>
      </c>
      <c r="D4" s="1" t="str">
        <f>IFERROR(__xludf.DUMMYFUNCTION("""COMPUTED_VALUE"""),"Web評価")</f>
        <v>Web評価</v>
      </c>
      <c r="E4" s="1" t="str">
        <f>IFERROR(__xludf.DUMMYFUNCTION("""COMPUTED_VALUE"""),"判定コメント/特徴")</f>
        <v>判定コメント/特徴</v>
      </c>
    </row>
    <row r="5">
      <c r="A5" s="2" t="str">
        <f t="shared" ref="A5:A77" si="1">TEXT(1260 + ROW() -5,"0000")</f>
        <v>1260</v>
      </c>
      <c r="B5" s="1" t="str">
        <f>IFERROR(__xludf.DUMMYFUNCTION("""COMPUTED_VALUE"""),"癒しの隠れ家サロン mori no Refujio")</f>
        <v>癒しの隠れ家サロン mori no Refujio</v>
      </c>
      <c r="C5" s="3" t="str">
        <f>IFERROR(__xludf.DUMMYFUNCTION("""COMPUTED_VALUE"""),"https://r.goope.jp/mori-no-refujio/")</f>
        <v>https://r.goope.jp/mori-no-refujio/</v>
      </c>
      <c r="D5" s="1" t="str">
        <f>IFERROR(__xludf.DUMMYFUNCTION("""COMPUTED_VALUE"""),"△")</f>
        <v>△</v>
      </c>
      <c r="E5" s="1" t="str">
        <f>IFERROR(__xludf.DUMMYFUNCTION("""COMPUTED_VALUE"""),"Goopeドメインの福岡市西区にある隠れ家整体×アロマ個人サロンのため")</f>
        <v>Goopeドメインの福岡市西区にある隠れ家整体×アロマ個人サロンのため</v>
      </c>
      <c r="F5" s="4" t="s">
        <v>173</v>
      </c>
    </row>
    <row r="6">
      <c r="A6" s="2" t="str">
        <f t="shared" si="1"/>
        <v>1261</v>
      </c>
      <c r="B6" s="1" t="str">
        <f>IFERROR(__xludf.DUMMYFUNCTION("""COMPUTED_VALUE"""),"くつろぎ鍼灸院 konohana")</f>
        <v>くつろぎ鍼灸院 konohana</v>
      </c>
      <c r="C6" s="3" t="str">
        <f>IFERROR(__xludf.DUMMYFUNCTION("""COMPUTED_VALUE"""),"https://kutsurogi-89massage.jimdofree.com/")</f>
        <v>https://kutsurogi-89massage.jimdofree.com/</v>
      </c>
      <c r="D6" s="1" t="str">
        <f>IFERROR(__xludf.DUMMYFUNCTION("""COMPUTED_VALUE"""),"△")</f>
        <v>△</v>
      </c>
      <c r="E6" s="1" t="str">
        <f>IFERROR(__xludf.DUMMYFUNCTION("""COMPUTED_VALUE"""),"Jimdoドメインの小郡市完全予約制個人鍼灸院のため")</f>
        <v>Jimdoドメインの小郡市完全予約制個人鍼灸院のため</v>
      </c>
      <c r="F6" s="4" t="s">
        <v>174</v>
      </c>
    </row>
    <row r="7">
      <c r="A7" s="2" t="str">
        <f t="shared" si="1"/>
        <v>1262</v>
      </c>
      <c r="B7" s="1" t="str">
        <f>IFERROR(__xludf.DUMMYFUNCTION("""COMPUTED_VALUE"""),"整体院 康善")</f>
        <v>整体院 康善</v>
      </c>
      <c r="C7" s="3" t="str">
        <f>IFERROR(__xludf.DUMMYFUNCTION("""COMPUTED_VALUE"""),"https://ayame-to-genji-to.wixsite.com/website")</f>
        <v>https://ayame-to-genji-to.wixsite.com/website</v>
      </c>
      <c r="D7" s="1" t="str">
        <f>IFERROR(__xludf.DUMMYFUNCTION("""COMPUTED_VALUE"""),"△")</f>
        <v>△</v>
      </c>
      <c r="E7" s="1" t="str">
        <f>IFERROR(__xludf.DUMMYFUNCTION("""COMPUTED_VALUE"""),"Wixドメインの八女市1日5名限定美容スポーツ整体個人院のため")</f>
        <v>Wixドメインの八女市1日5名限定美容スポーツ整体個人院のため</v>
      </c>
      <c r="F7" s="4" t="s">
        <v>175</v>
      </c>
    </row>
    <row r="8">
      <c r="A8" s="2" t="str">
        <f t="shared" si="1"/>
        <v>1263</v>
      </c>
      <c r="B8" s="1" t="str">
        <f>IFERROR(__xludf.DUMMYFUNCTION("""COMPUTED_VALUE"""),"八女美容整体サロン")</f>
        <v>八女美容整体サロン</v>
      </c>
      <c r="C8" s="3" t="str">
        <f>IFERROR(__xludf.DUMMYFUNCTION("""COMPUTED_VALUE"""),"https://yamebiyouseitai.hp.peraichi.com/yameseikotuin")</f>
        <v>https://yamebiyouseitai.hp.peraichi.com/yameseikotuin</v>
      </c>
      <c r="D8" s="1" t="str">
        <f>IFERROR(__xludf.DUMMYFUNCTION("""COMPUTED_VALUE"""),"△")</f>
        <v>△</v>
      </c>
      <c r="E8" s="1" t="str">
        <f>IFERROR(__xludf.DUMMYFUNCTION("""COMPUTED_VALUE"""),"ペライチドメインの八女市完全予約制プライベート整体サロンのため")</f>
        <v>ペライチドメインの八女市完全予約制プライベート整体サロンのため</v>
      </c>
      <c r="F8" s="4" t="s">
        <v>176</v>
      </c>
    </row>
    <row r="9">
      <c r="A9" s="2" t="str">
        <f t="shared" si="1"/>
        <v>1264</v>
      </c>
      <c r="B9" s="1" t="str">
        <f>IFERROR(__xludf.DUMMYFUNCTION("""COMPUTED_VALUE"""),"アロマ 聖（ひじり）")</f>
        <v>アロマ 聖（ひじり）</v>
      </c>
      <c r="C9" s="3" t="str">
        <f>IFERROR(__xludf.DUMMYFUNCTION("""COMPUTED_VALUE"""),"https://aromahijiri.jimdofree.com/")</f>
        <v>https://aromahijiri.jimdofree.com/</v>
      </c>
      <c r="D9" s="1" t="str">
        <f>IFERROR(__xludf.DUMMYFUNCTION("""COMPUTED_VALUE"""),"△")</f>
        <v>△</v>
      </c>
      <c r="E9" s="1" t="str">
        <f>IFERROR(__xludf.DUMMYFUNCTION("""COMPUTED_VALUE"""),"Jimdoドメインの大牟田市自宅型隠れ家アロマ個人サロンのため")</f>
        <v>Jimdoドメインの大牟田市自宅型隠れ家アロマ個人サロンのため</v>
      </c>
      <c r="F9" s="4" t="s">
        <v>177</v>
      </c>
    </row>
    <row r="10">
      <c r="A10" s="2" t="str">
        <f t="shared" si="1"/>
        <v>1265</v>
      </c>
      <c r="B10" s="1" t="str">
        <f>IFERROR(__xludf.DUMMYFUNCTION("""COMPUTED_VALUE"""),"プライベートサロン マール")</f>
        <v>プライベートサロン マール</v>
      </c>
      <c r="C10" s="3" t="str">
        <f>IFERROR(__xludf.DUMMYFUNCTION("""COMPUTED_VALUE"""),"https://mayumarl333.wixsite.com/-site")</f>
        <v>https://mayumarl333.wixsite.com/-site</v>
      </c>
      <c r="D10" s="1" t="str">
        <f>IFERROR(__xludf.DUMMYFUNCTION("""COMPUTED_VALUE"""),"△")</f>
        <v>△</v>
      </c>
      <c r="E10" s="1" t="str">
        <f>IFERROR(__xludf.DUMMYFUNCTION("""COMPUTED_VALUE"""),"Wixドメインの柳川市五感調整型個人プライベートサロンのため")</f>
        <v>Wixドメインの柳川市五感調整型個人プライベートサロンのため</v>
      </c>
      <c r="F10" s="4" t="s">
        <v>178</v>
      </c>
    </row>
    <row r="11">
      <c r="A11" s="2" t="str">
        <f t="shared" si="1"/>
        <v>1266</v>
      </c>
      <c r="B11" s="1" t="str">
        <f>IFERROR(__xludf.DUMMYFUNCTION("""COMPUTED_VALUE"""),"GIFTリラクゼーション")</f>
        <v>GIFTリラクゼーション</v>
      </c>
      <c r="C11" s="3" t="str">
        <f>IFERROR(__xludf.DUMMYFUNCTION("""COMPUTED_VALUE"""),"https://5att0.hp.peraichi.com/")</f>
        <v>https://5att0.hp.peraichi.com/</v>
      </c>
      <c r="D11" s="1" t="str">
        <f>IFERROR(__xludf.DUMMYFUNCTION("""COMPUTED_VALUE"""),"△")</f>
        <v>△</v>
      </c>
      <c r="E11" s="1" t="str">
        <f>IFERROR(__xludf.DUMMYFUNCTION("""COMPUTED_VALUE"""),"ペライチドメインの久留米市マンション一室完全予約制個人サロンのため")</f>
        <v>ペライチドメインの久留米市マンション一室完全予約制個人サロンのため</v>
      </c>
      <c r="F11" s="4" t="s">
        <v>179</v>
      </c>
    </row>
    <row r="12">
      <c r="A12" s="2" t="str">
        <f t="shared" si="1"/>
        <v>1267</v>
      </c>
      <c r="B12" s="1" t="str">
        <f>IFERROR(__xludf.DUMMYFUNCTION("""COMPUTED_VALUE"""),"あいのわ アロマ＆ヒーリングスペース")</f>
        <v>あいのわ アロマ＆ヒーリングスペース</v>
      </c>
      <c r="C12" s="3" t="str">
        <f>IFERROR(__xludf.DUMMYFUNCTION("""COMPUTED_VALUE"""),"https://ainowaaroma333.jimdofree.com/")</f>
        <v>https://ainowaaroma333.jimdofree.com/</v>
      </c>
      <c r="D12" s="1" t="str">
        <f>IFERROR(__xludf.DUMMYFUNCTION("""COMPUTED_VALUE"""),"△")</f>
        <v>△</v>
      </c>
      <c r="E12" s="1" t="str">
        <f>IFERROR(__xludf.DUMMYFUNCTION("""COMPUTED_VALUE"""),"Jimdoドメインの久留米市完全予約制オールハンド施術個人サロンのため")</f>
        <v>Jimdoドメインの久留米市完全予約制オールハンド施術個人サロンのため</v>
      </c>
      <c r="F12" s="4" t="s">
        <v>180</v>
      </c>
    </row>
    <row r="13">
      <c r="A13" s="2" t="str">
        <f t="shared" si="1"/>
        <v>1268</v>
      </c>
      <c r="B13" s="1" t="str">
        <f>IFERROR(__xludf.DUMMYFUNCTION("""COMPUTED_VALUE"""),"梅﨑元希メンタルサポート")</f>
        <v>梅﨑元希メンタルサポート</v>
      </c>
      <c r="C13" s="3" t="str">
        <f>IFERROR(__xludf.DUMMYFUNCTION("""COMPUTED_VALUE"""),"https://hilmental-109.jimdofree.com/")</f>
        <v>https://hilmental-109.jimdofree.com/</v>
      </c>
      <c r="D13" s="1" t="str">
        <f>IFERROR(__xludf.DUMMYFUNCTION("""COMPUTED_VALUE"""),"△")</f>
        <v>△</v>
      </c>
      <c r="E13" s="1" t="str">
        <f>IFERROR(__xludf.DUMMYFUNCTION("""COMPUTED_VALUE"""),"Jimdoドメインの大牟田市対話中心個人メンタルサポートのため")</f>
        <v>Jimdoドメインの大牟田市対話中心個人メンタルサポートのため</v>
      </c>
      <c r="F13" s="4" t="s">
        <v>181</v>
      </c>
    </row>
    <row r="14">
      <c r="A14" s="2" t="str">
        <f t="shared" si="1"/>
        <v>1269</v>
      </c>
      <c r="B14" s="1" t="str">
        <f>IFERROR(__xludf.DUMMYFUNCTION("""COMPUTED_VALUE"""),"色彩心理 Colorful")</f>
        <v>色彩心理 Colorful</v>
      </c>
      <c r="C14" s="3" t="str">
        <f>IFERROR(__xludf.DUMMYFUNCTION("""COMPUTED_VALUE"""),"https://mieko1016color.jimdofree.com/")</f>
        <v>https://mieko1016color.jimdofree.com/</v>
      </c>
      <c r="D14" s="1" t="str">
        <f>IFERROR(__xludf.DUMMYFUNCTION("""COMPUTED_VALUE"""),"△")</f>
        <v>△</v>
      </c>
      <c r="E14" s="1" t="str">
        <f>IFERROR(__xludf.DUMMYFUNCTION("""COMPUTED_VALUE"""),"Jimdoドメインの久留米市中心カラーセラピー個人セッションのため")</f>
        <v>Jimdoドメインの久留米市中心カラーセラピー個人セッションのため</v>
      </c>
      <c r="F14" s="4" t="s">
        <v>182</v>
      </c>
    </row>
    <row r="15">
      <c r="A15" s="2" t="str">
        <f t="shared" si="1"/>
        <v>1270</v>
      </c>
      <c r="B15" s="1" t="str">
        <f>IFERROR(__xludf.DUMMYFUNCTION("""COMPUTED_VALUE"""),"ちえこはりお灸院")</f>
        <v>ちえこはりお灸院</v>
      </c>
      <c r="C15" s="3" t="str">
        <f>IFERROR(__xludf.DUMMYFUNCTION("""COMPUTED_VALUE"""),"https://chieko-hari-okyuin.wixsite.com/chieko")</f>
        <v>https://chieko-hari-okyuin.wixsite.com/chieko</v>
      </c>
      <c r="D15" s="1" t="str">
        <f>IFERROR(__xludf.DUMMYFUNCTION("""COMPUTED_VALUE"""),"△")</f>
        <v>△</v>
      </c>
      <c r="E15" s="1" t="str">
        <f>IFERROR(__xludf.DUMMYFUNCTION("""COMPUTED_VALUE"""),"Wixドメインの筑後市完全予約制紹介制個人鍼灸院のため")</f>
        <v>Wixドメインの筑後市完全予約制紹介制個人鍼灸院のため</v>
      </c>
      <c r="F15" s="4" t="s">
        <v>183</v>
      </c>
    </row>
    <row r="16">
      <c r="A16" s="2" t="str">
        <f t="shared" si="1"/>
        <v>1271</v>
      </c>
      <c r="B16" s="1" t="str">
        <f>IFERROR(__xludf.DUMMYFUNCTION("""COMPUTED_VALUE"""),"ヨガ＆フーレセラピーゆるりら")</f>
        <v>ヨガ＆フーレセラピーゆるりら</v>
      </c>
      <c r="C16" s="3" t="str">
        <f>IFERROR(__xludf.DUMMYFUNCTION("""COMPUTED_VALUE"""),"https://yururelatakemae.wixsite.com/-site")</f>
        <v>https://yururelatakemae.wixsite.com/-site</v>
      </c>
      <c r="D16" s="1" t="str">
        <f>IFERROR(__xludf.DUMMYFUNCTION("""COMPUTED_VALUE"""),"△")</f>
        <v>△</v>
      </c>
      <c r="E16" s="1" t="str">
        <f>IFERROR(__xludf.DUMMYFUNCTION("""COMPUTED_VALUE"""),"Wixドメインの久留米市女性専用完全予約制個人ヨガサロンのため")</f>
        <v>Wixドメインの久留米市女性専用完全予約制個人ヨガサロンのため</v>
      </c>
      <c r="F16" s="4" t="s">
        <v>184</v>
      </c>
    </row>
    <row r="17">
      <c r="A17" s="2" t="str">
        <f t="shared" si="1"/>
        <v>1272</v>
      </c>
      <c r="B17" s="1" t="str">
        <f>IFERROR(__xludf.DUMMYFUNCTION("""COMPUTED_VALUE"""),"家族の爪ケア専門店 カルミア")</f>
        <v>家族の爪ケア専門店 カルミア</v>
      </c>
      <c r="C17" s="3" t="str">
        <f>IFERROR(__xludf.DUMMYFUNCTION("""COMPUTED_VALUE"""),"https://l8gdt.hp.peraichi.com/")</f>
        <v>https://l8gdt.hp.peraichi.com/</v>
      </c>
      <c r="D17" s="1" t="str">
        <f>IFERROR(__xludf.DUMMYFUNCTION("""COMPUTED_VALUE"""),"△")</f>
        <v>△</v>
      </c>
      <c r="E17" s="1" t="str">
        <f>IFERROR(__xludf.DUMMYFUNCTION("""COMPUTED_VALUE"""),"ペライチドメインのうきは市完全予約制プライベート爪ケア個人サロンのため")</f>
        <v>ペライチドメインのうきは市完全予約制プライベート爪ケア個人サロンのため</v>
      </c>
      <c r="F17" s="4" t="s">
        <v>185</v>
      </c>
    </row>
    <row r="18">
      <c r="A18" s="2" t="str">
        <f t="shared" si="1"/>
        <v>1273</v>
      </c>
      <c r="B18" s="1" t="str">
        <f>IFERROR(__xludf.DUMMYFUNCTION("""COMPUTED_VALUE"""),"リラクゼーションルーム mion 【ミオン】")</f>
        <v>リラクゼーションルーム mion 【ミオン】</v>
      </c>
      <c r="C18" s="3" t="str">
        <f>IFERROR(__xludf.DUMMYFUNCTION("""COMPUTED_VALUE"""),"https://mion2021.amebaownd.com/")</f>
        <v>https://mion2021.amebaownd.com/</v>
      </c>
      <c r="D18" s="1" t="str">
        <f>IFERROR(__xludf.DUMMYFUNCTION("""COMPUTED_VALUE"""),"△")</f>
        <v>△</v>
      </c>
      <c r="E18" s="1" t="str">
        <f>IFERROR(__xludf.DUMMYFUNCTION("""COMPUTED_VALUE"""),"Ameba Owndドメインの久留米市三潴町にある完全予約制オールハンド自宅個人サロンのため")</f>
        <v>Ameba Owndドメインの久留米市三潴町にある完全予約制オールハンド自宅個人サロンのため</v>
      </c>
      <c r="F18" s="4" t="s">
        <v>186</v>
      </c>
    </row>
    <row r="19">
      <c r="A19" s="2" t="str">
        <f t="shared" si="1"/>
        <v>1274</v>
      </c>
      <c r="B19" s="1" t="str">
        <f>IFERROR(__xludf.DUMMYFUNCTION("""COMPUTED_VALUE"""),"yuntaku－ゆんたくー")</f>
        <v>yuntaku－ゆんたくー</v>
      </c>
      <c r="C19" s="3" t="str">
        <f>IFERROR(__xludf.DUMMYFUNCTION("""COMPUTED_VALUE"""),"https://yuntaku-matricaria.amebaownd.com/")</f>
        <v>https://yuntaku-matricaria.amebaownd.com/</v>
      </c>
      <c r="D19" s="1" t="str">
        <f>IFERROR(__xludf.DUMMYFUNCTION("""COMPUTED_VALUE"""),"△")</f>
        <v>△</v>
      </c>
      <c r="E19" s="1" t="str">
        <f>IFERROR(__xludf.DUMMYFUNCTION("""COMPUTED_VALUE"""),"Ameba Owndドメインの筑後市にある小さな自宅個人サロンで対話と癒し提供のため")</f>
        <v>Ameba Owndドメインの筑後市にある小さな自宅個人サロンで対話と癒し提供のため</v>
      </c>
      <c r="F19" s="4" t="s">
        <v>187</v>
      </c>
    </row>
    <row r="20">
      <c r="A20" s="2" t="str">
        <f t="shared" si="1"/>
        <v>1275</v>
      </c>
      <c r="B20" s="1" t="str">
        <f>IFERROR(__xludf.DUMMYFUNCTION("""COMPUTED_VALUE"""),"nails T H R E E")</f>
        <v>nails T H R E E</v>
      </c>
      <c r="C20" s="3" t="str">
        <f>IFERROR(__xludf.DUMMYFUNCTION("""COMPUTED_VALUE"""),"https://nailsthree.amebaownd.com/")</f>
        <v>https://nailsthree.amebaownd.com/</v>
      </c>
      <c r="D20" s="1" t="str">
        <f>IFERROR(__xludf.DUMMYFUNCTION("""COMPUTED_VALUE"""),"△")</f>
        <v>△</v>
      </c>
      <c r="E20" s="1" t="str">
        <f>IFERROR(__xludf.DUMMYFUNCTION("""COMPUTED_VALUE"""),"Ameba Owndドメインの柳川市自宅ネイル個人サロンでカウンセリング重視のため")</f>
        <v>Ameba Owndドメインの柳川市自宅ネイル個人サロンでカウンセリング重視のため</v>
      </c>
      <c r="F20" s="4" t="s">
        <v>188</v>
      </c>
    </row>
    <row r="21" ht="15.75" customHeight="1">
      <c r="A21" s="2" t="str">
        <f t="shared" si="1"/>
        <v>1276</v>
      </c>
      <c r="B21" s="1" t="str">
        <f>IFERROR(__xludf.DUMMYFUNCTION("""COMPUTED_VALUE"""),"光（みつ）・ターシャの世界")</f>
        <v>光（みつ）・ターシャの世界</v>
      </c>
      <c r="C21" s="3" t="str">
        <f>IFERROR(__xludf.DUMMYFUNCTION("""COMPUTED_VALUE"""),"https://mitsutasha.jimdofree.com/")</f>
        <v>https://mitsutasha.jimdofree.com/</v>
      </c>
      <c r="D21" s="1" t="str">
        <f>IFERROR(__xludf.DUMMYFUNCTION("""COMPUTED_VALUE"""),"△")</f>
        <v>△</v>
      </c>
      <c r="E21" s="1" t="str">
        <f>IFERROR(__xludf.DUMMYFUNCTION("""COMPUTED_VALUE"""),"Jimdoドメインの久留米市自宅サロンでタロット個人セッション中心のため")</f>
        <v>Jimdoドメインの久留米市自宅サロンでタロット個人セッション中心のため</v>
      </c>
      <c r="F21" s="4" t="s">
        <v>189</v>
      </c>
    </row>
    <row r="22" ht="15.75" customHeight="1">
      <c r="A22" s="2" t="str">
        <f t="shared" si="1"/>
        <v>1277</v>
      </c>
      <c r="B22" s="1" t="str">
        <f>IFERROR(__xludf.DUMMYFUNCTION("""COMPUTED_VALUE"""),"最強のネイルケア（うきは）")</f>
        <v>最強のネイルケア（うきは）</v>
      </c>
      <c r="C22" s="3" t="str">
        <f>IFERROR(__xludf.DUMMYFUNCTION("""COMPUTED_VALUE"""),"https://qvr42.hp.peraichi.com/")</f>
        <v>https://qvr42.hp.peraichi.com/</v>
      </c>
      <c r="D22" s="1" t="str">
        <f>IFERROR(__xludf.DUMMYFUNCTION("""COMPUTED_VALUE"""),"△")</f>
        <v>△</v>
      </c>
      <c r="E22" s="1" t="str">
        <f>IFERROR(__xludf.DUMMYFUNCTION("""COMPUTED_VALUE"""),"ペライチドメインのうきは市看板なし自宅サロンで1対1対応のため")</f>
        <v>ペライチドメインのうきは市看板なし自宅サロンで1対1対応のため</v>
      </c>
      <c r="F22" s="4" t="s">
        <v>190</v>
      </c>
    </row>
    <row r="23" ht="15.75" customHeight="1">
      <c r="A23" s="2" t="str">
        <f t="shared" si="1"/>
        <v>1278</v>
      </c>
      <c r="B23" s="1" t="str">
        <f>IFERROR(__xludf.DUMMYFUNCTION("""COMPUTED_VALUE"""),"サロン・アプローズ")</f>
        <v>サロン・アプローズ</v>
      </c>
      <c r="C23" s="3" t="str">
        <f>IFERROR(__xludf.DUMMYFUNCTION("""COMPUTED_VALUE"""),"https://salon-applause.jimdofree.com/")</f>
        <v>https://salon-applause.jimdofree.com/</v>
      </c>
      <c r="D23" s="1" t="str">
        <f>IFERROR(__xludf.DUMMYFUNCTION("""COMPUTED_VALUE"""),"△")</f>
        <v>△</v>
      </c>
      <c r="E23" s="1" t="str">
        <f>IFERROR(__xludf.DUMMYFUNCTION("""COMPUTED_VALUE"""),"Jimdoドメインの大牟田市自宅サロンでレイキ等個人セッション提供のため")</f>
        <v>Jimdoドメインの大牟田市自宅サロンでレイキ等個人セッション提供のため</v>
      </c>
      <c r="F23" s="4" t="s">
        <v>191</v>
      </c>
    </row>
    <row r="24" ht="15.75" customHeight="1">
      <c r="A24" s="2" t="str">
        <f t="shared" si="1"/>
        <v>1279</v>
      </c>
      <c r="B24" s="1" t="str">
        <f>IFERROR(__xludf.DUMMYFUNCTION("""COMPUTED_VALUE"""),"Petite Salon H (ぷちサロンえいち)")</f>
        <v>Petite Salon H (ぷちサロンえいち)</v>
      </c>
      <c r="C24" s="3" t="str">
        <f>IFERROR(__xludf.DUMMYFUNCTION("""COMPUTED_VALUE"""),"https://petit-saron-h.jimdofree.com/")</f>
        <v>https://petit-saron-h.jimdofree.com/</v>
      </c>
      <c r="D24" s="1" t="str">
        <f>IFERROR(__xludf.DUMMYFUNCTION("""COMPUTED_VALUE"""),"△")</f>
        <v>△</v>
      </c>
      <c r="E24" s="1" t="str">
        <f>IFERROR(__xludf.DUMMYFUNCTION("""COMPUTED_VALUE"""),"Jimdoドメインの筑後市西牟田の完全予約制隠れ家個人サロンのため")</f>
        <v>Jimdoドメインの筑後市西牟田の完全予約制隠れ家個人サロンのため</v>
      </c>
      <c r="F24" s="4" t="s">
        <v>192</v>
      </c>
    </row>
    <row r="25" ht="15.75" customHeight="1">
      <c r="A25" s="2" t="str">
        <f t="shared" si="1"/>
        <v>1280</v>
      </c>
      <c r="B25" s="1" t="str">
        <f>IFERROR(__xludf.DUMMYFUNCTION("""COMPUTED_VALUE"""),"Relaxation Salon セグレイト")</f>
        <v>Relaxation Salon セグレイト</v>
      </c>
      <c r="C25" s="3" t="str">
        <f>IFERROR(__xludf.DUMMYFUNCTION("""COMPUTED_VALUE"""),"https://asopu.crayonsite.info/")</f>
        <v>https://asopu.crayonsite.info/</v>
      </c>
      <c r="D25" s="1" t="str">
        <f>IFERROR(__xludf.DUMMYFUNCTION("""COMPUTED_VALUE"""),"△")</f>
        <v>△</v>
      </c>
      <c r="E25" s="1" t="str">
        <f>IFERROR(__xludf.DUMMYFUNCTION("""COMPUTED_VALUE"""),"Crayonドメインの久留米市完全予約制で周りを気にせず過ごせる個人サロンのため")</f>
        <v>Crayonドメインの久留米市完全予約制で周りを気にせず過ごせる個人サロンのため</v>
      </c>
      <c r="F25" s="4" t="s">
        <v>193</v>
      </c>
    </row>
    <row r="26" ht="15.75" customHeight="1">
      <c r="A26" s="2" t="str">
        <f t="shared" si="1"/>
        <v>1281</v>
      </c>
      <c r="B26" s="1" t="str">
        <f>IFERROR(__xludf.DUMMYFUNCTION("""COMPUTED_VALUE"""),"Hikari salon（大牟田）")</f>
        <v>Hikari salon（大牟田）</v>
      </c>
      <c r="C26" s="3" t="str">
        <f>IFERROR(__xludf.DUMMYFUNCTION("""COMPUTED_VALUE"""),"https://salonleem.wixsite.com/netorabasuthi/blank-1")</f>
        <v>https://salonleem.wixsite.com/netorabasuthi/blank-1</v>
      </c>
      <c r="D26" s="1" t="str">
        <f>IFERROR(__xludf.DUMMYFUNCTION("""COMPUTED_VALUE"""),"△")</f>
        <v>△</v>
      </c>
      <c r="E26" s="1" t="str">
        <f>IFERROR(__xludf.DUMMYFUNCTION("""COMPUTED_VALUE"""),"Wixドメインの大牟田市でネトラバスティ等専門ケア提供の個人サロンのため")</f>
        <v>Wixドメインの大牟田市でネトラバスティ等専門ケア提供の個人サロンのため</v>
      </c>
      <c r="F26" s="4" t="s">
        <v>194</v>
      </c>
    </row>
    <row r="27" ht="15.75" customHeight="1">
      <c r="A27" s="2" t="str">
        <f t="shared" si="1"/>
        <v>1282</v>
      </c>
      <c r="B27" s="1" t="str">
        <f>IFERROR(__xludf.DUMMYFUNCTION("""COMPUTED_VALUE"""),"こころと香りの訪問セラピー FuWaRi")</f>
        <v>こころと香りの訪問セラピー FuWaRi</v>
      </c>
      <c r="C27" s="3" t="str">
        <f>IFERROR(__xludf.DUMMYFUNCTION("""COMPUTED_VALUE"""),"https://ms-fuwari.amebaownd.com/")</f>
        <v>https://ms-fuwari.amebaownd.com/</v>
      </c>
      <c r="D27" s="1" t="str">
        <f>IFERROR(__xludf.DUMMYFUNCTION("""COMPUTED_VALUE"""),"△")</f>
        <v>△</v>
      </c>
      <c r="E27" s="1" t="str">
        <f>IFERROR(__xludf.DUMMYFUNCTION("""COMPUTED_VALUE"""),"Ameba Owndドメインの訪問型個人セラピーで対話支援中心のため")</f>
        <v>Ameba Owndドメインの訪問型個人セラピーで対話支援中心のため</v>
      </c>
      <c r="F27" s="4" t="s">
        <v>195</v>
      </c>
    </row>
    <row r="28" ht="15.75" customHeight="1">
      <c r="A28" s="2" t="str">
        <f t="shared" si="1"/>
        <v>1283</v>
      </c>
      <c r="B28" s="1" t="str">
        <f>IFERROR(__xludf.DUMMYFUNCTION("""COMPUTED_VALUE"""),"H.S.Peace（久留米）")</f>
        <v>H.S.Peace（久留米）</v>
      </c>
      <c r="C28" s="3" t="str">
        <f>IFERROR(__xludf.DUMMYFUNCTION("""COMPUTED_VALUE"""),"https://peace-recruit.hp.peraichi.com/")</f>
        <v>https://peace-recruit.hp.peraichi.com/</v>
      </c>
      <c r="D28" s="1" t="str">
        <f>IFERROR(__xludf.DUMMYFUNCTION("""COMPUTED_VALUE"""),"△")</f>
        <v>△</v>
      </c>
      <c r="E28" s="1" t="str">
        <f>IFERROR(__xludf.DUMMYFUNCTION("""COMPUTED_VALUE"""),"ペライチドメインの久留米市完全マンツーマン美容室のため")</f>
        <v>ペライチドメインの久留米市完全マンツーマン美容室のため</v>
      </c>
      <c r="F28" s="4" t="s">
        <v>196</v>
      </c>
    </row>
    <row r="29" ht="15.75" customHeight="1">
      <c r="A29" s="2" t="str">
        <f t="shared" si="1"/>
        <v>1284</v>
      </c>
      <c r="B29" s="1" t="str">
        <f>IFERROR(__xludf.DUMMYFUNCTION("""COMPUTED_VALUE"""),"Taoネイル（大牟田）")</f>
        <v>Taoネイル（大牟田）</v>
      </c>
      <c r="C29" s="3" t="str">
        <f>IFERROR(__xludf.DUMMYFUNCTION("""COMPUTED_VALUE"""),"https://nailmatrix16.wixsite.com/tao3/nailschool-taonail-omuta")</f>
        <v>https://nailmatrix16.wixsite.com/tao3/nailschool-taonail-omuta</v>
      </c>
      <c r="D29" s="1" t="str">
        <f>IFERROR(__xludf.DUMMYFUNCTION("""COMPUTED_VALUE"""),"△")</f>
        <v>△</v>
      </c>
      <c r="E29" s="1" t="str">
        <f>IFERROR(__xludf.DUMMYFUNCTION("""COMPUTED_VALUE"""),"Wixドメインの大牟田市マンツーマン指導の個人サロン兼スクールのため")</f>
        <v>Wixドメインの大牟田市マンツーマン指導の個人サロン兼スクールのため</v>
      </c>
      <c r="F29" s="4" t="s">
        <v>197</v>
      </c>
    </row>
    <row r="30" ht="15.75" customHeight="1">
      <c r="A30" s="2" t="str">
        <f t="shared" si="1"/>
        <v>1285</v>
      </c>
      <c r="B30" s="1" t="str">
        <f>IFERROR(__xludf.DUMMYFUNCTION("""COMPUTED_VALUE"""),"LIGHTHOUSE（ライトハウス）")</f>
        <v>LIGHTHOUSE（ライトハウス）</v>
      </c>
      <c r="C30" s="3" t="str">
        <f>IFERROR(__xludf.DUMMYFUNCTION("""COMPUTED_VALUE"""),"https://salon-lh.jimdofree.com/")</f>
        <v>https://salon-lh.jimdofree.com/</v>
      </c>
      <c r="D30" s="1" t="str">
        <f>IFERROR(__xludf.DUMMYFUNCTION("""COMPUTED_VALUE"""),"△")</f>
        <v>△</v>
      </c>
      <c r="E30" s="1" t="str">
        <f>IFERROR(__xludf.DUMMYFUNCTION("""COMPUTED_VALUE"""),"Jimdoドメインの西鉄平尾駅近くにある事前カウンセリング重視の個人サロンのため")</f>
        <v>Jimdoドメインの西鉄平尾駅近くにある事前カウンセリング重視の個人サロンのため</v>
      </c>
      <c r="F30" s="4" t="s">
        <v>198</v>
      </c>
    </row>
    <row r="31" ht="15.75" customHeight="1">
      <c r="A31" s="2" t="str">
        <f t="shared" si="1"/>
        <v>1286</v>
      </c>
      <c r="B31" s="1" t="str">
        <f>IFERROR(__xludf.DUMMYFUNCTION("""COMPUTED_VALUE"""),"ヒーリングサロン空(くう)")</f>
        <v>ヒーリングサロン空(くう)</v>
      </c>
      <c r="C31" s="3" t="str">
        <f>IFERROR(__xludf.DUMMYFUNCTION("""COMPUTED_VALUE"""),"https://peraichi.com/landing_pages/view/horagenki")</f>
        <v>https://peraichi.com/landing_pages/view/horagenki</v>
      </c>
      <c r="D31" s="1" t="str">
        <f>IFERROR(__xludf.DUMMYFUNCTION("""COMPUTED_VALUE"""),"△")</f>
        <v>△</v>
      </c>
      <c r="E31" s="1" t="str">
        <f>IFERROR(__xludf.DUMMYFUNCTION("""COMPUTED_VALUE"""),"ペライチドメインの西鉄井尻駅徒歩圏内で氣功や相談支援を行う個人サロンのため")</f>
        <v>ペライチドメインの西鉄井尻駅徒歩圏内で氣功や相談支援を行う個人サロンのため</v>
      </c>
      <c r="F31" s="4" t="s">
        <v>199</v>
      </c>
    </row>
    <row r="32" ht="15.75" customHeight="1">
      <c r="A32" s="2" t="str">
        <f t="shared" si="1"/>
        <v>1287</v>
      </c>
      <c r="B32" s="1" t="str">
        <f>IFERROR(__xludf.DUMMYFUNCTION("""COMPUTED_VALUE"""),"リラクゼーションサロン ラクサノハナ")</f>
        <v>リラクゼーションサロン ラクサノハナ</v>
      </c>
      <c r="C32" s="3" t="str">
        <f>IFERROR(__xludf.DUMMYFUNCTION("""COMPUTED_VALUE"""),"https://raksanohana.jimdofree.com/")</f>
        <v>https://raksanohana.jimdofree.com/</v>
      </c>
      <c r="D32" s="1" t="str">
        <f>IFERROR(__xludf.DUMMYFUNCTION("""COMPUTED_VALUE"""),"△")</f>
        <v>△</v>
      </c>
      <c r="E32" s="1" t="str">
        <f>IFERROR(__xludf.DUMMYFUNCTION("""COMPUTED_VALUE"""),"Jimdoドメインの西鉄下大利駅近く完全予約制プライベート個人サロンのため")</f>
        <v>Jimdoドメインの西鉄下大利駅近く完全予約制プライベート個人サロンのため</v>
      </c>
      <c r="F32" s="4" t="s">
        <v>200</v>
      </c>
    </row>
    <row r="33" ht="15.75" customHeight="1">
      <c r="A33" s="2" t="str">
        <f t="shared" si="1"/>
        <v>1288</v>
      </c>
      <c r="B33" s="1" t="str">
        <f>IFERROR(__xludf.DUMMYFUNCTION("""COMPUTED_VALUE"""),"HAIR SALON Y3春日原店")</f>
        <v>HAIR SALON Y3春日原店</v>
      </c>
      <c r="C33" s="3" t="str">
        <f>IFERROR(__xludf.DUMMYFUNCTION("""COMPUTED_VALUE"""),"https://atelier-y3k.jimdofree.com/")</f>
        <v>https://atelier-y3k.jimdofree.com/</v>
      </c>
      <c r="D33" s="1" t="str">
        <f>IFERROR(__xludf.DUMMYFUNCTION("""COMPUTED_VALUE"""),"△")</f>
        <v>△</v>
      </c>
      <c r="E33" s="1" t="str">
        <f>IFERROR(__xludf.DUMMYFUNCTION("""COMPUTED_VALUE"""),"Jimdoドメインの西鉄春日原駅近くマンツーマン施術小規模美容室のため")</f>
        <v>Jimdoドメインの西鉄春日原駅近くマンツーマン施術小規模美容室のため</v>
      </c>
      <c r="F33" s="4" t="s">
        <v>201</v>
      </c>
    </row>
    <row r="34" ht="15.75" customHeight="1">
      <c r="A34" s="2" t="str">
        <f t="shared" si="1"/>
        <v>1289</v>
      </c>
      <c r="B34" s="1" t="str">
        <f>IFERROR(__xludf.DUMMYFUNCTION("""COMPUTED_VALUE"""),"hearty（ハーティ）")</f>
        <v>hearty（ハーティ）</v>
      </c>
      <c r="C34" s="3" t="str">
        <f>IFERROR(__xludf.DUMMYFUNCTION("""COMPUTED_VALUE"""),"https://hearty2015.wixsite.com/hearty/new")</f>
        <v>https://hearty2015.wixsite.com/hearty/new</v>
      </c>
      <c r="D34" s="1" t="str">
        <f>IFERROR(__xludf.DUMMYFUNCTION("""COMPUTED_VALUE"""),"△")</f>
        <v>△</v>
      </c>
      <c r="E34" s="1" t="str">
        <f>IFERROR(__xludf.DUMMYFUNCTION("""COMPUTED_VALUE"""),"Wixドメインの西鉄桜台駅徒歩圏内マンション型完全予約制個人サロンのため")</f>
        <v>Wixドメインの西鉄桜台駅徒歩圏内マンション型完全予約制個人サロンのため</v>
      </c>
      <c r="F34" s="4" t="s">
        <v>202</v>
      </c>
    </row>
    <row r="35" ht="15.75" customHeight="1">
      <c r="A35" s="2" t="str">
        <f t="shared" si="1"/>
        <v>1290</v>
      </c>
      <c r="B35" s="1" t="str">
        <f>IFERROR(__xludf.DUMMYFUNCTION("""COMPUTED_VALUE"""),"NASUパーソナルトレーニングジム")</f>
        <v>NASUパーソナルトレーニングジム</v>
      </c>
      <c r="C35" s="3" t="str">
        <f>IFERROR(__xludf.DUMMYFUNCTION("""COMPUTED_VALUE"""),"https://nasuptg.wixsite.com/ogori")</f>
        <v>https://nasuptg.wixsite.com/ogori</v>
      </c>
      <c r="D35" s="1" t="str">
        <f>IFERROR(__xludf.DUMMYFUNCTION("""COMPUTED_VALUE"""),"△")</f>
        <v>△</v>
      </c>
      <c r="E35" s="1" t="str">
        <f>IFERROR(__xludf.DUMMYFUNCTION("""COMPUTED_VALUE"""),"Wixドメインの西鉄小郡駅徒歩圏内カウンセリング無料個人パーソナルジムのため")</f>
        <v>Wixドメインの西鉄小郡駅徒歩圏内カウンセリング無料個人パーソナルジムのため</v>
      </c>
      <c r="F35" s="4" t="s">
        <v>203</v>
      </c>
    </row>
    <row r="36" ht="15.75" customHeight="1">
      <c r="A36" s="2" t="str">
        <f t="shared" si="1"/>
        <v>1291</v>
      </c>
      <c r="B36" s="1" t="str">
        <f>IFERROR(__xludf.DUMMYFUNCTION("""COMPUTED_VALUE"""),"シェアサロンぬるまゆ西鉄久留米店")</f>
        <v>シェアサロンぬるまゆ西鉄久留米店</v>
      </c>
      <c r="C36" s="3" t="str">
        <f>IFERROR(__xludf.DUMMYFUNCTION("""COMPUTED_VALUE"""),"https://lqd6w.hp.peraichi.com/")</f>
        <v>https://lqd6w.hp.peraichi.com/</v>
      </c>
      <c r="D36" s="1" t="str">
        <f>IFERROR(__xludf.DUMMYFUNCTION("""COMPUTED_VALUE"""),"△")</f>
        <v>△</v>
      </c>
      <c r="E36" s="1" t="str">
        <f>IFERROR(__xludf.DUMMYFUNCTION("""COMPUTED_VALUE"""),"ペライチドメインの西鉄久留米駅近く個人事業主支援型シェアサロン拠点のため")</f>
        <v>ペライチドメインの西鉄久留米駅近く個人事業主支援型シェアサロン拠点のため</v>
      </c>
      <c r="F36" s="4" t="s">
        <v>204</v>
      </c>
    </row>
    <row r="37" ht="15.75" customHeight="1">
      <c r="A37" s="2" t="str">
        <f t="shared" si="1"/>
        <v>1292</v>
      </c>
      <c r="B37" s="1" t="str">
        <f>IFERROR(__xludf.DUMMYFUNCTION("""COMPUTED_VALUE"""),"金光教筑紫本郷教会（心の悩み相談室）")</f>
        <v>金光教筑紫本郷教会（心の悩み相談室）</v>
      </c>
      <c r="C37" s="3" t="str">
        <f>IFERROR(__xludf.DUMMYFUNCTION("""COMPUTED_VALUE"""),"https://chikushihongokonko.wixsite.com/chikushihongo/onayamisoudan")</f>
        <v>https://chikushihongokonko.wixsite.com/chikushihongo/onayamisoudan</v>
      </c>
      <c r="D37" s="1" t="str">
        <f>IFERROR(__xludf.DUMMYFUNCTION("""COMPUTED_VALUE"""),"△")</f>
        <v>△</v>
      </c>
      <c r="E37" s="1" t="str">
        <f>IFERROR(__xludf.DUMMYFUNCTION("""COMPUTED_VALUE"""),"Wixドメインの西鉄安武駅周辺で個人相談支援を行う相談室のため")</f>
        <v>Wixドメインの西鉄安武駅周辺で個人相談支援を行う相談室のため</v>
      </c>
      <c r="F37" s="4" t="s">
        <v>205</v>
      </c>
    </row>
    <row r="38" ht="15.75" customHeight="1">
      <c r="A38" s="2" t="str">
        <f t="shared" si="1"/>
        <v>1293</v>
      </c>
      <c r="B38" s="1" t="str">
        <f>IFERROR(__xludf.DUMMYFUNCTION("""COMPUTED_VALUE"""),"美容室coloris(コロリ)")</f>
        <v>美容室coloris(コロリ)</v>
      </c>
      <c r="C38" s="3" t="str">
        <f>IFERROR(__xludf.DUMMYFUNCTION("""COMPUTED_VALUE"""),"https://coloris6-20.jimdofree.com/")</f>
        <v>https://coloris6-20.jimdofree.com/</v>
      </c>
      <c r="D38" s="1" t="str">
        <f>IFERROR(__xludf.DUMMYFUNCTION("""COMPUTED_VALUE"""),"△")</f>
        <v>△</v>
      </c>
      <c r="E38" s="1" t="str">
        <f>IFERROR(__xludf.DUMMYFUNCTION("""COMPUTED_VALUE"""),"Jimdoドメインの西鉄大善寺駅近くオーナーマンツーマン施術美容室のため")</f>
        <v>Jimdoドメインの西鉄大善寺駅近くオーナーマンツーマン施術美容室のため</v>
      </c>
      <c r="F38" s="4" t="s">
        <v>206</v>
      </c>
    </row>
    <row r="39" ht="15.75" customHeight="1">
      <c r="A39" s="2" t="str">
        <f t="shared" si="1"/>
        <v>1294</v>
      </c>
      <c r="B39" s="1" t="str">
        <f>IFERROR(__xludf.DUMMYFUNCTION("""COMPUTED_VALUE"""),"りずむ整体院")</f>
        <v>りずむ整体院</v>
      </c>
      <c r="C39" s="3" t="str">
        <f>IFERROR(__xludf.DUMMYFUNCTION("""COMPUTED_VALUE"""),"https://rizumuseitai.jimdofree.com/")</f>
        <v>https://rizumuseitai.jimdofree.com/</v>
      </c>
      <c r="D39" s="1" t="str">
        <f>IFERROR(__xludf.DUMMYFUNCTION("""COMPUTED_VALUE"""),"△")</f>
        <v>△</v>
      </c>
      <c r="E39" s="1" t="str">
        <f>IFERROR(__xludf.DUMMYFUNCTION("""COMPUTED_VALUE"""),"Jimdoドメインの西鉄柳川周辺女性整体師運営の隠れ家個人サロンのため")</f>
        <v>Jimdoドメインの西鉄柳川周辺女性整体師運営の隠れ家個人サロンのため</v>
      </c>
      <c r="F39" s="4" t="s">
        <v>207</v>
      </c>
    </row>
    <row r="40" ht="15.75" customHeight="1">
      <c r="A40" s="2" t="str">
        <f t="shared" si="1"/>
        <v>1295</v>
      </c>
      <c r="B40" s="1" t="str">
        <f>IFERROR(__xludf.DUMMYFUNCTION("""COMPUTED_VALUE"""),"beauty salon * moana *（モアナ）")</f>
        <v>beauty salon * moana *（モアナ）</v>
      </c>
      <c r="C40" s="3" t="str">
        <f>IFERROR(__xludf.DUMMYFUNCTION("""COMPUTED_VALUE"""),"https://beautysalonmoana.wixsite.com/moana")</f>
        <v>https://beautysalonmoana.wixsite.com/moana</v>
      </c>
      <c r="D40" s="1" t="str">
        <f>IFERROR(__xludf.DUMMYFUNCTION("""COMPUTED_VALUE"""),"△")</f>
        <v>△</v>
      </c>
      <c r="E40" s="1" t="str">
        <f>IFERROR(__xludf.DUMMYFUNCTION("""COMPUTED_VALUE"""),"Wixドメインの西鉄新栄町駅近くカウンセリング重視個人アイサロンのため")</f>
        <v>Wixドメインの西鉄新栄町駅近くカウンセリング重視個人アイサロンのため</v>
      </c>
      <c r="F40" s="4" t="s">
        <v>208</v>
      </c>
    </row>
    <row r="41" ht="15.75" customHeight="1">
      <c r="A41" s="2" t="str">
        <f t="shared" si="1"/>
        <v>1296</v>
      </c>
      <c r="B41" s="1" t="str">
        <f>IFERROR(__xludf.DUMMYFUNCTION("""COMPUTED_VALUE"""),"なかとも整骨院")</f>
        <v>なかとも整骨院</v>
      </c>
      <c r="C41" s="3" t="str">
        <f>IFERROR(__xludf.DUMMYFUNCTION("""COMPUTED_VALUE"""),"https://nakatomo-seikotsuin.hp.peraichi.com/top/")</f>
        <v>https://nakatomo-seikotsuin.hp.peraichi.com/top/</v>
      </c>
      <c r="D41" s="1" t="str">
        <f>IFERROR(__xludf.DUMMYFUNCTION("""COMPUTED_VALUE"""),"△")</f>
        <v>△</v>
      </c>
      <c r="E41" s="1" t="str">
        <f>IFERROR(__xludf.DUMMYFUNCTION("""COMPUTED_VALUE"""),"ペライチドメインの大牟田市完全予約制初回カウンセリング重視整骨院のため")</f>
        <v>ペライチドメインの大牟田市完全予約制初回カウンセリング重視整骨院のため</v>
      </c>
      <c r="F41" s="4" t="s">
        <v>209</v>
      </c>
    </row>
    <row r="42" ht="15.75" customHeight="1">
      <c r="A42" s="2" t="str">
        <f t="shared" si="1"/>
        <v>1297</v>
      </c>
      <c r="B42" s="1" t="str">
        <f>IFERROR(__xludf.DUMMYFUNCTION("""COMPUTED_VALUE"""),"パーソナルジム Y-FIT-238")</f>
        <v>パーソナルジム Y-FIT-238</v>
      </c>
      <c r="C42" s="3" t="str">
        <f>IFERROR(__xludf.DUMMYFUNCTION("""COMPUTED_VALUE"""),"https://yfit238.hp.peraichi.com/")</f>
        <v>https://yfit238.hp.peraichi.com/</v>
      </c>
      <c r="D42" s="1" t="str">
        <f>IFERROR(__xludf.DUMMYFUNCTION("""COMPUTED_VALUE"""),"△")</f>
        <v>△</v>
      </c>
      <c r="E42" s="1" t="str">
        <f>IFERROR(__xludf.DUMMYFUNCTION("""COMPUTED_VALUE"""),"ペライチドメインの天神舞鶴エリアで無料カウンセリング重視の個人パーソナルジムのため")</f>
        <v>ペライチドメインの天神舞鶴エリアで無料カウンセリング重視の個人パーソナルジムのため</v>
      </c>
      <c r="F42" s="4" t="s">
        <v>210</v>
      </c>
    </row>
    <row r="43" ht="15.75" customHeight="1">
      <c r="A43" s="2" t="str">
        <f t="shared" si="1"/>
        <v>1298</v>
      </c>
      <c r="B43" s="1" t="str">
        <f>IFERROR(__xludf.DUMMYFUNCTION("""COMPUTED_VALUE"""),"ハピネスカラー（天神）")</f>
        <v>ハピネスカラー（天神）</v>
      </c>
      <c r="C43" s="3" t="str">
        <f>IFERROR(__xludf.DUMMYFUNCTION("""COMPUTED_VALUE"""),"https://happiness-color.jimdofree.com/")</f>
        <v>https://happiness-color.jimdofree.com/</v>
      </c>
      <c r="D43" s="1" t="str">
        <f>IFERROR(__xludf.DUMMYFUNCTION("""COMPUTED_VALUE"""),"△")</f>
        <v>△</v>
      </c>
      <c r="E43" s="1" t="str">
        <f>IFERROR(__xludf.DUMMYFUNCTION("""COMPUTED_VALUE"""),"Jimdoドメインの天神駅近くで個人カラーカウンセリング提供のため")</f>
        <v>Jimdoドメインの天神駅近くで個人カラーカウンセリング提供のため</v>
      </c>
      <c r="F43" s="4" t="s">
        <v>211</v>
      </c>
    </row>
    <row r="44" ht="15.75" customHeight="1">
      <c r="A44" s="2" t="str">
        <f t="shared" si="1"/>
        <v>1299</v>
      </c>
      <c r="B44" s="1" t="str">
        <f>IFERROR(__xludf.DUMMYFUNCTION("""COMPUTED_VALUE"""),"ストレッチエクササイズ cocosia")</f>
        <v>ストレッチエクササイズ cocosia</v>
      </c>
      <c r="C44" s="3" t="str">
        <f>IFERROR(__xludf.DUMMYFUNCTION("""COMPUTED_VALUE"""),"https://cocosia31.wixsite.com/home")</f>
        <v>https://cocosia31.wixsite.com/home</v>
      </c>
      <c r="D44" s="1" t="str">
        <f>IFERROR(__xludf.DUMMYFUNCTION("""COMPUTED_VALUE"""),"△")</f>
        <v>△</v>
      </c>
      <c r="E44" s="1" t="str">
        <f>IFERROR(__xludf.DUMMYFUNCTION("""COMPUTED_VALUE"""),"Wixドメインの薬院駅近くで個人少人数向けストレッチレッスン提供のため")</f>
        <v>Wixドメインの薬院駅近くで個人少人数向けストレッチレッスン提供のため</v>
      </c>
      <c r="F44" s="4" t="s">
        <v>212</v>
      </c>
    </row>
    <row r="45" ht="15.75" customHeight="1">
      <c r="A45" s="2" t="str">
        <f t="shared" si="1"/>
        <v>1300</v>
      </c>
      <c r="B45" s="1" t="str">
        <f>IFERROR(__xludf.DUMMYFUNCTION("""COMPUTED_VALUE"""),"銀座まるかん 天使の風")</f>
        <v>銀座まるかん 天使の風</v>
      </c>
      <c r="C45" s="3" t="str">
        <f>IFERROR(__xludf.DUMMYFUNCTION("""COMPUTED_VALUE"""),"https://tensinokaze888.wixsite.com/casablanca")</f>
        <v>https://tensinokaze888.wixsite.com/casablanca</v>
      </c>
      <c r="D45" s="1" t="str">
        <f>IFERROR(__xludf.DUMMYFUNCTION("""COMPUTED_VALUE"""),"△")</f>
        <v>△</v>
      </c>
      <c r="E45" s="1" t="str">
        <f>IFERROR(__xludf.DUMMYFUNCTION("""COMPUTED_VALUE"""),"Wixドメインの西鉄平尾駅徒歩圏内でスピリチュアル相談等を行う個人サロンのため")</f>
        <v>Wixドメインの西鉄平尾駅徒歩圏内でスピリチュアル相談等を行う個人サロンのため</v>
      </c>
      <c r="F45" s="4" t="s">
        <v>213</v>
      </c>
    </row>
    <row r="46" ht="15.75" customHeight="1">
      <c r="A46" s="2" t="str">
        <f t="shared" si="1"/>
        <v>1301</v>
      </c>
      <c r="B46" s="1" t="str">
        <f>IFERROR(__xludf.DUMMYFUNCTION("""COMPUTED_VALUE"""),"Life Conditioning Studio")</f>
        <v>Life Conditioning Studio</v>
      </c>
      <c r="C46" s="3" t="str">
        <f>IFERROR(__xludf.DUMMYFUNCTION("""COMPUTED_VALUE"""),"https://officehoa7271.wixsite.com/website/syuttyou")</f>
        <v>https://officehoa7271.wixsite.com/website/syuttyou</v>
      </c>
      <c r="D46" s="1" t="str">
        <f>IFERROR(__xludf.DUMMYFUNCTION("""COMPUTED_VALUE"""),"△")</f>
        <v>△</v>
      </c>
      <c r="E46" s="1" t="str">
        <f>IFERROR(__xludf.DUMMYFUNCTION("""COMPUTED_VALUE"""),"Wixドメインの高宮駅徒歩圏内で整体ヨガの個別コンディショニング提供のため")</f>
        <v>Wixドメインの高宮駅徒歩圏内で整体ヨガの個別コンディショニング提供のため</v>
      </c>
      <c r="F46" s="4" t="s">
        <v>214</v>
      </c>
    </row>
    <row r="47" ht="15.75" customHeight="1">
      <c r="A47" s="2" t="str">
        <f t="shared" si="1"/>
        <v>1302</v>
      </c>
      <c r="B47" s="1" t="str">
        <f>IFERROR(__xludf.DUMMYFUNCTION("""COMPUTED_VALUE"""),"グリーンリーフ博多")</f>
        <v>グリーンリーフ博多</v>
      </c>
      <c r="C47" s="3" t="str">
        <f>IFERROR(__xludf.DUMMYFUNCTION("""COMPUTED_VALUE"""),"https://green-leaf-hakata.jimdofree.com/")</f>
        <v>https://green-leaf-hakata.jimdofree.com/</v>
      </c>
      <c r="D47" s="1" t="str">
        <f>IFERROR(__xludf.DUMMYFUNCTION("""COMPUTED_VALUE"""),"△")</f>
        <v>△</v>
      </c>
      <c r="E47" s="1" t="str">
        <f>IFERROR(__xludf.DUMMYFUNCTION("""COMPUTED_VALUE"""),"Jimdoドメインの大橋駅徒歩圏内で温活＋無料相談も行う個人サロンのため")</f>
        <v>Jimdoドメインの大橋駅徒歩圏内で温活＋無料相談も行う個人サロンのため</v>
      </c>
      <c r="F47" s="4" t="s">
        <v>215</v>
      </c>
    </row>
    <row r="48" ht="15.75" customHeight="1">
      <c r="A48" s="2" t="str">
        <f t="shared" si="1"/>
        <v>1303</v>
      </c>
      <c r="B48" s="1" t="str">
        <f>IFERROR(__xludf.DUMMYFUNCTION("""COMPUTED_VALUE"""),"道の駅整骨院")</f>
        <v>道の駅整骨院</v>
      </c>
      <c r="C48" s="3" t="str">
        <f>IFERROR(__xludf.DUMMYFUNCTION("""COMPUTED_VALUE"""),"https://michinoeki-seikotsuin.jimdofree.com/")</f>
        <v>https://michinoeki-seikotsuin.jimdofree.com/</v>
      </c>
      <c r="D48" s="1" t="str">
        <f>IFERROR(__xludf.DUMMYFUNCTION("""COMPUTED_VALUE"""),"△")</f>
        <v>△</v>
      </c>
      <c r="E48" s="1" t="str">
        <f>IFERROR(__xludf.DUMMYFUNCTION("""COMPUTED_VALUE"""),"Jimdoドメインの雑餉隈駅徒歩2分で心のケア併設の個人整骨院のため")</f>
        <v>Jimdoドメインの雑餉隈駅徒歩2分で心のケア併設の個人整骨院のため</v>
      </c>
      <c r="F48" s="4" t="s">
        <v>216</v>
      </c>
    </row>
    <row r="49" ht="15.75" customHeight="1">
      <c r="A49" s="2" t="str">
        <f t="shared" si="1"/>
        <v>1304</v>
      </c>
      <c r="B49" s="1" t="str">
        <f>IFERROR(__xludf.DUMMYFUNCTION("""COMPUTED_VALUE"""),"もみほぐし整体 春日原店")</f>
        <v>もみほぐし整体 春日原店</v>
      </c>
      <c r="C49" s="3" t="str">
        <f>IFERROR(__xludf.DUMMYFUNCTION("""COMPUTED_VALUE"""),"https://y2gxr.hp.peraichi.com/")</f>
        <v>https://y2gxr.hp.peraichi.com/</v>
      </c>
      <c r="D49" s="1" t="str">
        <f>IFERROR(__xludf.DUMMYFUNCTION("""COMPUTED_VALUE"""),"△")</f>
        <v>△</v>
      </c>
      <c r="E49" s="1" t="str">
        <f>IFERROR(__xludf.DUMMYFUNCTION("""COMPUTED_VALUE"""),"ペライチドメインの春日原駅近く職人マンツーマン施術の小規模整体院のため")</f>
        <v>ペライチドメインの春日原駅近く職人マンツーマン施術の小規模整体院のため</v>
      </c>
      <c r="F49" s="4" t="s">
        <v>217</v>
      </c>
    </row>
    <row r="50" ht="15.75" customHeight="1">
      <c r="A50" s="2" t="str">
        <f t="shared" si="1"/>
        <v>1305</v>
      </c>
      <c r="B50" s="1" t="str">
        <f>IFERROR(__xludf.DUMMYFUNCTION("""COMPUTED_VALUE"""),"CherryBlossom〜桜〜")</f>
        <v>CherryBlossom〜桜〜</v>
      </c>
      <c r="C50" s="3" t="str">
        <f>IFERROR(__xludf.DUMMYFUNCTION("""COMPUTED_VALUE"""),"https://cherryblossom-sakura-04.jimdofree.com/")</f>
        <v>https://cherryblossom-sakura-04.jimdofree.com/</v>
      </c>
      <c r="D50" s="1" t="str">
        <f>IFERROR(__xludf.DUMMYFUNCTION("""COMPUTED_VALUE"""),"△")</f>
        <v>△</v>
      </c>
      <c r="E50" s="1" t="str">
        <f>IFERROR(__xludf.DUMMYFUNCTION("""COMPUTED_VALUE"""),"Jimdoドメインの下大利駅近く完全予約制カウンセリングルームのため")</f>
        <v>Jimdoドメインの下大利駅近く完全予約制カウンセリングルームのため</v>
      </c>
      <c r="F50" s="4" t="s">
        <v>218</v>
      </c>
    </row>
    <row r="51" ht="15.75" customHeight="1">
      <c r="A51" s="2" t="str">
        <f t="shared" si="1"/>
        <v>1306</v>
      </c>
      <c r="B51" s="1" t="str">
        <f>IFERROR(__xludf.DUMMYFUNCTION("""COMPUTED_VALUE"""),"プライベートサロン Rtam（ルタム）")</f>
        <v>プライベートサロン Rtam（ルタム）</v>
      </c>
      <c r="C51" s="3" t="str">
        <f>IFERROR(__xludf.DUMMYFUNCTION("""COMPUTED_VALUE"""),"https://ryou6134.wixsite.com/rtum")</f>
        <v>https://ryou6134.wixsite.com/rtum</v>
      </c>
      <c r="D51" s="1" t="str">
        <f>IFERROR(__xludf.DUMMYFUNCTION("""COMPUTED_VALUE"""),"△")</f>
        <v>△</v>
      </c>
      <c r="E51" s="1" t="str">
        <f>IFERROR(__xludf.DUMMYFUNCTION("""COMPUTED_VALUE"""),"Wixドメインの薬院駅徒歩2分マンション一室ワンオーナー個人サロンのため")</f>
        <v>Wixドメインの薬院駅徒歩2分マンション一室ワンオーナー個人サロンのため</v>
      </c>
      <c r="F51" s="4" t="s">
        <v>219</v>
      </c>
    </row>
    <row r="52" ht="15.75" customHeight="1">
      <c r="A52" s="2" t="str">
        <f t="shared" si="1"/>
        <v>1307</v>
      </c>
      <c r="B52" s="1" t="str">
        <f>IFERROR(__xludf.DUMMYFUNCTION("""COMPUTED_VALUE"""),"タイ古式マッサージ ロータス")</f>
        <v>タイ古式マッサージ ロータス</v>
      </c>
      <c r="C52" s="3" t="str">
        <f>IFERROR(__xludf.DUMMYFUNCTION("""COMPUTED_VALUE"""),"https://lotus-thai.jimdofree.com/")</f>
        <v>https://lotus-thai.jimdofree.com/</v>
      </c>
      <c r="D52" s="1" t="str">
        <f>IFERROR(__xludf.DUMMYFUNCTION("""COMPUTED_VALUE"""),"△")</f>
        <v>△</v>
      </c>
      <c r="E52" s="1" t="str">
        <f>IFERROR(__xludf.DUMMYFUNCTION("""COMPUTED_VALUE"""),"Jimdoドメインの薬院駅徒歩圏内1名様限定貸切の隠れ家個人サロンのため")</f>
        <v>Jimdoドメインの薬院駅徒歩圏内1名様限定貸切の隠れ家個人サロンのため</v>
      </c>
      <c r="F52" s="4" t="s">
        <v>220</v>
      </c>
    </row>
    <row r="53" ht="15.75" customHeight="1">
      <c r="A53" s="2" t="str">
        <f t="shared" si="1"/>
        <v>1308</v>
      </c>
      <c r="B53" s="1" t="str">
        <f>IFERROR(__xludf.DUMMYFUNCTION("""COMPUTED_VALUE"""),"リンパサロン＆スクール Fuwafuwa")</f>
        <v>リンパサロン＆スクール Fuwafuwa</v>
      </c>
      <c r="C53" s="3" t="str">
        <f>IFERROR(__xludf.DUMMYFUNCTION("""COMPUTED_VALUE"""),"https://lymphschoolfuwafuw.wixsite.com/fukuoka")</f>
        <v>https://lymphschoolfuwafuw.wixsite.com/fukuoka</v>
      </c>
      <c r="D53" s="1" t="str">
        <f>IFERROR(__xludf.DUMMYFUNCTION("""COMPUTED_VALUE"""),"△")</f>
        <v>△</v>
      </c>
      <c r="E53" s="1" t="str">
        <f>IFERROR(__xludf.DUMMYFUNCTION("""COMPUTED_VALUE"""),"Wixドメインの薬院エリア住所非公開の完全予約制自宅個人サロンのため")</f>
        <v>Wixドメインの薬院エリア住所非公開の完全予約制自宅個人サロンのため</v>
      </c>
      <c r="F53" s="4" t="s">
        <v>221</v>
      </c>
    </row>
    <row r="54" ht="15.75" customHeight="1">
      <c r="A54" s="2" t="str">
        <f t="shared" si="1"/>
        <v>1309</v>
      </c>
      <c r="B54" s="1" t="str">
        <f>IFERROR(__xludf.DUMMYFUNCTION("""COMPUTED_VALUE"""),"ZERO ONE PRIVATE GYM")</f>
        <v>ZERO ONE PRIVATE GYM</v>
      </c>
      <c r="C54" s="3" t="str">
        <f>IFERROR(__xludf.DUMMYFUNCTION("""COMPUTED_VALUE"""),"https://yoshitakakajiwara1.wixsite.com/zeroone")</f>
        <v>https://yoshitakakajiwara1.wixsite.com/zeroone</v>
      </c>
      <c r="D54" s="1" t="str">
        <f>IFERROR(__xludf.DUMMYFUNCTION("""COMPUTED_VALUE"""),"△")</f>
        <v>△</v>
      </c>
      <c r="E54" s="1" t="str">
        <f>IFERROR(__xludf.DUMMYFUNCTION("""COMPUTED_VALUE"""),"Wixドメインの薬院駅徒歩2分完全個室マンツーマン個人ジムのため")</f>
        <v>Wixドメインの薬院駅徒歩2分完全個室マンツーマン個人ジムのため</v>
      </c>
      <c r="F54" s="4" t="s">
        <v>222</v>
      </c>
    </row>
    <row r="55" ht="15.75" customHeight="1">
      <c r="A55" s="2" t="str">
        <f t="shared" si="1"/>
        <v>1310</v>
      </c>
      <c r="B55" s="1" t="str">
        <f>IFERROR(__xludf.DUMMYFUNCTION("""COMPUTED_VALUE"""),"パワーボム（リラクゼーションサロン ワンシープ）")</f>
        <v>パワーボム（リラクゼーションサロン ワンシープ）</v>
      </c>
      <c r="C55" s="3" t="str">
        <f>IFERROR(__xludf.DUMMYFUNCTION("""COMPUTED_VALUE"""),"https://power-bomb.jimdofree.com/")</f>
        <v>https://power-bomb.jimdofree.com/</v>
      </c>
      <c r="D55" s="1" t="str">
        <f>IFERROR(__xludf.DUMMYFUNCTION("""COMPUTED_VALUE"""),"△")</f>
        <v>△</v>
      </c>
      <c r="E55" s="1" t="str">
        <f>IFERROR(__xludf.DUMMYFUNCTION("""COMPUTED_VALUE"""),"Jimdoドメインの薬院駅徒歩圏内完全個室で深夜営業もある個人サロンのため")</f>
        <v>Jimdoドメインの薬院駅徒歩圏内完全個室で深夜営業もある個人サロンのため</v>
      </c>
      <c r="F55" s="4" t="s">
        <v>223</v>
      </c>
    </row>
    <row r="56" ht="15.75" customHeight="1">
      <c r="A56" s="2" t="str">
        <f t="shared" si="1"/>
        <v>1311</v>
      </c>
      <c r="B56" s="1" t="str">
        <f>IFERROR(__xludf.DUMMYFUNCTION("""COMPUTED_VALUE"""),"マリアリーフ")</f>
        <v>マリアリーフ</v>
      </c>
      <c r="C56" s="3" t="str">
        <f>IFERROR(__xludf.DUMMYFUNCTION("""COMPUTED_VALUE"""),"https://r.goope.jp/marialeaf")</f>
        <v>https://r.goope.jp/marialeaf</v>
      </c>
      <c r="D56" s="1" t="str">
        <f>IFERROR(__xludf.DUMMYFUNCTION("""COMPUTED_VALUE"""),"△")</f>
        <v>△</v>
      </c>
      <c r="E56" s="1" t="str">
        <f>IFERROR(__xludf.DUMMYFUNCTION("""COMPUTED_VALUE"""),"Goopeドメインの大橋駅徒歩圏内マンション一室完全予約制ハーブアロマ個人サロンのため")</f>
        <v>Goopeドメインの大橋駅徒歩圏内マンション一室完全予約制ハーブアロマ個人サロンのため</v>
      </c>
      <c r="F56" s="4" t="s">
        <v>224</v>
      </c>
    </row>
    <row r="57" ht="15.75" customHeight="1">
      <c r="A57" s="2" t="str">
        <f t="shared" si="1"/>
        <v>1312</v>
      </c>
      <c r="B57" s="1" t="str">
        <f>IFERROR(__xludf.DUMMYFUNCTION("""COMPUTED_VALUE"""),"tianail3（ティアネイル）")</f>
        <v>tianail3（ティアネイル）</v>
      </c>
      <c r="C57" s="3" t="str">
        <f>IFERROR(__xludf.DUMMYFUNCTION("""COMPUTED_VALUE"""),"https://tianail3.hp.peraichi.com/")</f>
        <v>https://tianail3.hp.peraichi.com/</v>
      </c>
      <c r="D57" s="1" t="str">
        <f>IFERROR(__xludf.DUMMYFUNCTION("""COMPUTED_VALUE"""),"△")</f>
        <v>△</v>
      </c>
      <c r="E57" s="1" t="str">
        <f>IFERROR(__xludf.DUMMYFUNCTION("""COMPUTED_VALUE"""),"ペライチドメインの大橋駅近辺自宅ネイル個人サロンで接客とカウンセリング重視のため")</f>
        <v>ペライチドメインの大橋駅近辺自宅ネイル個人サロンで接客とカウンセリング重視のため</v>
      </c>
      <c r="F57" s="4" t="s">
        <v>225</v>
      </c>
    </row>
    <row r="58" ht="15.75" customHeight="1">
      <c r="A58" s="2" t="str">
        <f t="shared" si="1"/>
        <v>1313</v>
      </c>
      <c r="B58" s="1" t="str">
        <f>IFERROR(__xludf.DUMMYFUNCTION("""COMPUTED_VALUE"""),"ヒーリング・カウンセリング nsb")</f>
        <v>ヒーリング・カウンセリング nsb</v>
      </c>
      <c r="C58" s="3" t="str">
        <f>IFERROR(__xludf.DUMMYFUNCTION("""COMPUTED_VALUE"""),"https://nsb-hp-toshiko.jimdofree.com/")</f>
        <v>https://nsb-hp-toshiko.jimdofree.com/</v>
      </c>
      <c r="D58" s="1" t="str">
        <f>IFERROR(__xludf.DUMMYFUNCTION("""COMPUTED_VALUE"""),"△")</f>
        <v>△</v>
      </c>
      <c r="E58" s="1" t="str">
        <f>IFERROR(__xludf.DUMMYFUNCTION("""COMPUTED_VALUE"""),"Jimdoドメインの薬院天神エリア完全予約制の個人相談室（スピ系支援）のため")</f>
        <v>Jimdoドメインの薬院天神エリア完全予約制の個人相談室（スピ系支援）のため</v>
      </c>
      <c r="F58" s="4" t="s">
        <v>226</v>
      </c>
    </row>
    <row r="59" ht="15.75" customHeight="1">
      <c r="A59" s="2" t="str">
        <f t="shared" si="1"/>
        <v>1314</v>
      </c>
      <c r="B59" s="1" t="str">
        <f>IFERROR(__xludf.DUMMYFUNCTION("""COMPUTED_VALUE"""),"Nail&amp;Beauty Salon Sis")</f>
        <v>Nail&amp;Beauty Salon Sis</v>
      </c>
      <c r="C59" s="3" t="str">
        <f>IFERROR(__xludf.DUMMYFUNCTION("""COMPUTED_VALUE"""),"https://tqst2.hp.peraichi.com/")</f>
        <v>https://tqst2.hp.peraichi.com/</v>
      </c>
      <c r="D59" s="1" t="str">
        <f>IFERROR(__xludf.DUMMYFUNCTION("""COMPUTED_VALUE"""),"△")</f>
        <v>△</v>
      </c>
      <c r="E59" s="1" t="str">
        <f>IFERROR(__xludf.DUMMYFUNCTION("""COMPUTED_VALUE"""),"ペライチドメインの薬院駅徒歩圏内少人数アットホーム運営の個人サロンのため")</f>
        <v>ペライチドメインの薬院駅徒歩圏内少人数アットホーム運営の個人サロンのため</v>
      </c>
      <c r="F59" s="4" t="s">
        <v>227</v>
      </c>
    </row>
    <row r="60" ht="15.75" customHeight="1">
      <c r="A60" s="2" t="str">
        <f t="shared" si="1"/>
        <v>1315</v>
      </c>
      <c r="B60" s="1" t="str">
        <f>IFERROR(__xludf.DUMMYFUNCTION("""COMPUTED_VALUE"""),"seitai mamano")</f>
        <v>seitai mamano</v>
      </c>
      <c r="C60" s="3" t="str">
        <f>IFERROR(__xludf.DUMMYFUNCTION("""COMPUTED_VALUE"""),"https://kanaiwa888.wixsite.com/-site")</f>
        <v>https://kanaiwa888.wixsite.com/-site</v>
      </c>
      <c r="D60" s="1" t="str">
        <f>IFERROR(__xludf.DUMMYFUNCTION("""COMPUTED_VALUE"""),"△")</f>
        <v>△</v>
      </c>
      <c r="E60" s="1" t="str">
        <f>IFERROR(__xludf.DUMMYFUNCTION("""COMPUTED_VALUE"""),"Wixドメインの桜並木・雑餉隈周辺マンション一室でロングセッション対応の個人整体院のため")</f>
        <v>Wixドメインの桜並木・雑餉隈周辺マンション一室でロングセッション対応の個人整体院のため</v>
      </c>
      <c r="F60" s="4" t="s">
        <v>228</v>
      </c>
    </row>
    <row r="61" ht="15.75" customHeight="1">
      <c r="A61" s="2" t="str">
        <f t="shared" si="1"/>
        <v>1316</v>
      </c>
      <c r="B61" s="1" t="str">
        <f>IFERROR(__xludf.DUMMYFUNCTION("""COMPUTED_VALUE"""),"〜LaLaLa〜 バレルサウナ")</f>
        <v>〜LaLaLa〜 バレルサウナ</v>
      </c>
      <c r="C61" s="3" t="str">
        <f>IFERROR(__xludf.DUMMYFUNCTION("""COMPUTED_VALUE"""),"https://r.goope.jp/lalala-barrel/about")</f>
        <v>https://r.goope.jp/lalala-barrel/about</v>
      </c>
      <c r="D61" s="1" t="str">
        <f>IFERROR(__xludf.DUMMYFUNCTION("""COMPUTED_VALUE"""),"△")</f>
        <v>△</v>
      </c>
      <c r="E61" s="1" t="str">
        <f>IFERROR(__xludf.DUMMYFUNCTION("""COMPUTED_VALUE"""),"Goopeドメインの雑餉隈駅徒歩圏内マンション内完全予約制プライベートサウナのため")</f>
        <v>Goopeドメインの雑餉隈駅徒歩圏内マンション内完全予約制プライベートサウナのため</v>
      </c>
      <c r="F61" s="4" t="s">
        <v>229</v>
      </c>
    </row>
    <row r="62" ht="15.75" customHeight="1">
      <c r="A62" s="2" t="str">
        <f t="shared" si="1"/>
        <v>1317</v>
      </c>
      <c r="B62" s="1" t="str">
        <f>IFERROR(__xludf.DUMMYFUNCTION("""COMPUTED_VALUE"""),"リトリートサロン フォレスト")</f>
        <v>リトリートサロン フォレスト</v>
      </c>
      <c r="C62" s="3" t="str">
        <f>IFERROR(__xludf.DUMMYFUNCTION("""COMPUTED_VALUE"""),"https://kazukoshimojo.wixsite.com/forest")</f>
        <v>https://kazukoshimojo.wixsite.com/forest</v>
      </c>
      <c r="D62" s="1" t="str">
        <f>IFERROR(__xludf.DUMMYFUNCTION("""COMPUTED_VALUE"""),"△")</f>
        <v>△</v>
      </c>
      <c r="E62" s="1" t="str">
        <f>IFERROR(__xludf.DUMMYFUNCTION("""COMPUTED_VALUE"""),"Wixドメインの大野城市で住所非公開かつ事前カウンセリング重視の個人サロンのため")</f>
        <v>Wixドメインの大野城市で住所非公開かつ事前カウンセリング重視の個人サロンのため</v>
      </c>
      <c r="F62" s="4" t="s">
        <v>230</v>
      </c>
    </row>
    <row r="63" ht="15.75" customHeight="1">
      <c r="A63" s="2" t="str">
        <f t="shared" si="1"/>
        <v>1318</v>
      </c>
      <c r="B63" s="1" t="str">
        <f>IFERROR(__xludf.DUMMYFUNCTION("""COMPUTED_VALUE"""),"腸活サロン relief 〜リリーフ〜")</f>
        <v>腸活サロン relief 〜リリーフ〜</v>
      </c>
      <c r="C63" s="3" t="str">
        <f>IFERROR(__xludf.DUMMYFUNCTION("""COMPUTED_VALUE"""),"https://tyuki1021.wixsite.com/-site")</f>
        <v>https://tyuki1021.wixsite.com/-site</v>
      </c>
      <c r="D63" s="1" t="str">
        <f>IFERROR(__xludf.DUMMYFUNCTION("""COMPUTED_VALUE"""),"△")</f>
        <v>△</v>
      </c>
      <c r="E63" s="1" t="str">
        <f>IFERROR(__xludf.DUMMYFUNCTION("""COMPUTED_VALUE"""),"Wixドメインの春日原駅徒歩圏内女性限定完全予約制完全個室個人サロンのため")</f>
        <v>Wixドメインの春日原駅徒歩圏内女性限定完全予約制完全個室個人サロンのため</v>
      </c>
      <c r="F63" s="4" t="s">
        <v>231</v>
      </c>
    </row>
    <row r="64" ht="15.75" customHeight="1">
      <c r="A64" s="2" t="str">
        <f t="shared" si="1"/>
        <v>1319</v>
      </c>
      <c r="B64" s="1" t="str">
        <f>IFERROR(__xludf.DUMMYFUNCTION("""COMPUTED_VALUE"""),"nails-nao")</f>
        <v>nails-nao</v>
      </c>
      <c r="C64" s="3" t="str">
        <f>IFERROR(__xludf.DUMMYFUNCTION("""COMPUTED_VALUE"""),"https://nails-nao.jimdofree.com/")</f>
        <v>https://nails-nao.jimdofree.com/</v>
      </c>
      <c r="D64" s="1" t="str">
        <f>IFERROR(__xludf.DUMMYFUNCTION("""COMPUTED_VALUE"""),"△")</f>
        <v>△</v>
      </c>
      <c r="E64" s="1" t="str">
        <f>IFERROR(__xludf.DUMMYFUNCTION("""COMPUTED_VALUE"""),"Jimdoドメインの大野城市隠れ家型個人ネイルサロンで多様ケア提供のため")</f>
        <v>Jimdoドメインの大野城市隠れ家型個人ネイルサロンで多様ケア提供のため</v>
      </c>
      <c r="F64" s="4" t="s">
        <v>232</v>
      </c>
    </row>
    <row r="65" ht="15.75" customHeight="1">
      <c r="A65" s="2" t="str">
        <f t="shared" si="1"/>
        <v>1320</v>
      </c>
      <c r="B65" s="1" t="str">
        <f>IFERROR(__xludf.DUMMYFUNCTION("""COMPUTED_VALUE"""),"こうじや整骨院（太宰府）")</f>
        <v>こうじや整骨院（太宰府）</v>
      </c>
      <c r="C65" s="3" t="str">
        <f>IFERROR(__xludf.DUMMYFUNCTION("""COMPUTED_VALUE"""),"https://koujiya-dazaifu.jimdofree.com/")</f>
        <v>https://koujiya-dazaifu.jimdofree.com/</v>
      </c>
      <c r="D65" s="1" t="str">
        <f>IFERROR(__xludf.DUMMYFUNCTION("""COMPUTED_VALUE"""),"△")</f>
        <v>△</v>
      </c>
      <c r="E65" s="1" t="str">
        <f>IFERROR(__xludf.DUMMYFUNCTION("""COMPUTED_VALUE"""),"Jimdoドメインの太宰府市完全予約制で予約重複回避の個人整骨院のため")</f>
        <v>Jimdoドメインの太宰府市完全予約制で予約重複回避の個人整骨院のため</v>
      </c>
      <c r="F65" s="4" t="s">
        <v>233</v>
      </c>
    </row>
    <row r="66" ht="15.75" customHeight="1">
      <c r="A66" s="2" t="str">
        <f t="shared" si="1"/>
        <v>1321</v>
      </c>
      <c r="B66" s="1" t="str">
        <f>IFERROR(__xludf.DUMMYFUNCTION("""COMPUTED_VALUE"""),"リラクゼーションサロン ⅭOⅭOÑ")</f>
        <v>リラクゼーションサロン ⅭOⅭOÑ</v>
      </c>
      <c r="C66" s="3" t="str">
        <f>IFERROR(__xludf.DUMMYFUNCTION("""COMPUTED_VALUE"""),"https://cocon71830511.wixsite.com/website")</f>
        <v>https://cocon71830511.wixsite.com/website</v>
      </c>
      <c r="D66" s="1" t="str">
        <f>IFERROR(__xludf.DUMMYFUNCTION("""COMPUTED_VALUE"""),"△")</f>
        <v>△</v>
      </c>
      <c r="E66" s="1" t="str">
        <f>IFERROR(__xludf.DUMMYFUNCTION("""COMPUTED_VALUE"""),"Wixドメインの筑紫野太宰府エリア完全個室で経験豊富なオーナー個人運営のため")</f>
        <v>Wixドメインの筑紫野太宰府エリア完全個室で経験豊富なオーナー個人運営のため</v>
      </c>
      <c r="F66" s="4" t="s">
        <v>234</v>
      </c>
    </row>
    <row r="67" ht="15.75" customHeight="1">
      <c r="A67" s="2" t="str">
        <f t="shared" si="1"/>
        <v>1322</v>
      </c>
      <c r="B67" s="1" t="str">
        <f>IFERROR(__xludf.DUMMYFUNCTION("""COMPUTED_VALUE"""),"GIFTホームセラピストスクール")</f>
        <v>GIFTホームセラピストスクール</v>
      </c>
      <c r="C67" s="3" t="str">
        <f>IFERROR(__xludf.DUMMYFUNCTION("""COMPUTED_VALUE"""),"https://bu7ad.hp.peraichi.com/")</f>
        <v>https://bu7ad.hp.peraichi.com/</v>
      </c>
      <c r="D67" s="1" t="str">
        <f>IFERROR(__xludf.DUMMYFUNCTION("""COMPUTED_VALUE"""),"△")</f>
        <v>△</v>
      </c>
      <c r="E67" s="1" t="str">
        <f>IFERROR(__xludf.DUMMYFUNCTION("""COMPUTED_VALUE"""),"ペライチドメインの花畑駅・西鉄久留米駅周辺マンション内のスクール兼サロンのため")</f>
        <v>ペライチドメインの花畑駅・西鉄久留米駅周辺マンション内のスクール兼サロンのため</v>
      </c>
      <c r="F67" s="4" t="s">
        <v>235</v>
      </c>
    </row>
    <row r="68" ht="15.75" customHeight="1">
      <c r="A68" s="2" t="str">
        <f t="shared" si="1"/>
        <v>1323</v>
      </c>
      <c r="B68" s="1" t="str">
        <f>IFERROR(__xludf.DUMMYFUNCTION("""COMPUTED_VALUE"""),"ヒーリングサロン HALE-はれ-")</f>
        <v>ヒーリングサロン HALE-はれ-</v>
      </c>
      <c r="C68" s="3" t="str">
        <f>IFERROR(__xludf.DUMMYFUNCTION("""COMPUTED_VALUE"""),"https://hale.crayonsite.info/")</f>
        <v>https://hale.crayonsite.info/</v>
      </c>
      <c r="D68" s="1" t="str">
        <f>IFERROR(__xludf.DUMMYFUNCTION("""COMPUTED_VALUE"""),"△")</f>
        <v>△</v>
      </c>
      <c r="E68" s="1" t="str">
        <f>IFERROR(__xludf.DUMMYFUNCTION("""COMPUTED_VALUE"""),"Crayonドメインの筑後地区にある個人ヒーリングサロンのため")</f>
        <v>Crayonドメインの筑後地区にある個人ヒーリングサロンのため</v>
      </c>
      <c r="F68" s="4" t="s">
        <v>236</v>
      </c>
    </row>
    <row r="69" ht="15.75" customHeight="1">
      <c r="A69" s="2" t="str">
        <f t="shared" si="1"/>
        <v>1324</v>
      </c>
      <c r="B69" s="1" t="str">
        <f>IFERROR(__xludf.DUMMYFUNCTION("""COMPUTED_VALUE"""),"Dentalサロン SaAya")</f>
        <v>Dentalサロン SaAya</v>
      </c>
      <c r="C69" s="3" t="str">
        <f>IFERROR(__xludf.DUMMYFUNCTION("""COMPUTED_VALUE"""),"https://dental-salon-saaya.crayonsite.info/")</f>
        <v>https://dental-salon-saaya.crayonsite.info/</v>
      </c>
      <c r="D69" s="1" t="str">
        <f>IFERROR(__xludf.DUMMYFUNCTION("""COMPUTED_VALUE"""),"△")</f>
        <v>△</v>
      </c>
      <c r="E69" s="1" t="str">
        <f>IFERROR(__xludf.DUMMYFUNCTION("""COMPUTED_VALUE"""),"Crayonドメインの大牟田市中白川町にある個人プライベートサロンのため")</f>
        <v>Crayonドメインの大牟田市中白川町にある個人プライベートサロンのため</v>
      </c>
      <c r="F69" s="4" t="s">
        <v>237</v>
      </c>
    </row>
    <row r="70" ht="15.75" customHeight="1">
      <c r="A70" s="2" t="str">
        <f t="shared" si="1"/>
        <v>1325</v>
      </c>
      <c r="B70" s="1" t="str">
        <f>IFERROR(__xludf.DUMMYFUNCTION("""COMPUTED_VALUE"""),"SENSU hair salon&amp;wedding")</f>
        <v>SENSU hair salon&amp;wedding</v>
      </c>
      <c r="C70" s="3" t="str">
        <f>IFERROR(__xludf.DUMMYFUNCTION("""COMPUTED_VALUE"""),"http://r.goope.jp/sensu")</f>
        <v>http://r.goope.jp/sensu</v>
      </c>
      <c r="D70" s="1" t="str">
        <f>IFERROR(__xludf.DUMMYFUNCTION("""COMPUTED_VALUE"""),"△")</f>
        <v>△</v>
      </c>
      <c r="E70" s="1" t="str">
        <f>IFERROR(__xludf.DUMMYFUNCTION("""COMPUTED_VALUE"""),"Goopeドメインの久留米市内にある個人経営ヘアサロンのため")</f>
        <v>Goopeドメインの久留米市内にある個人経営ヘアサロンのため</v>
      </c>
      <c r="F70" s="4" t="s">
        <v>238</v>
      </c>
    </row>
    <row r="71" ht="15.75" customHeight="1">
      <c r="A71" s="2" t="str">
        <f t="shared" si="1"/>
        <v>1326</v>
      </c>
      <c r="B71" s="1" t="str">
        <f>IFERROR(__xludf.DUMMYFUNCTION("""COMPUTED_VALUE"""),"LUVIA fitness")</f>
        <v>LUVIA fitness</v>
      </c>
      <c r="C71" s="3" t="str">
        <f>IFERROR(__xludf.DUMMYFUNCTION("""COMPUTED_VALUE"""),"https://fitness-style1.jimdofree.com/")</f>
        <v>https://fitness-style1.jimdofree.com/</v>
      </c>
      <c r="D71" s="1" t="str">
        <f>IFERROR(__xludf.DUMMYFUNCTION("""COMPUTED_VALUE"""),"△")</f>
        <v>△</v>
      </c>
      <c r="E71" s="1" t="str">
        <f>IFERROR(__xludf.DUMMYFUNCTION("""COMPUTED_VALUE"""),"Jimdoドメインの西鉄久留米駅付近にある完全個室パーソナルトレーニングルームのため")</f>
        <v>Jimdoドメインの西鉄久留米駅付近にある完全個室パーソナルトレーニングルームのため</v>
      </c>
      <c r="F71" s="4" t="s">
        <v>239</v>
      </c>
    </row>
    <row r="72" ht="15.75" customHeight="1">
      <c r="A72" s="2" t="str">
        <f t="shared" si="1"/>
        <v>1327</v>
      </c>
      <c r="B72" s="1" t="str">
        <f>IFERROR(__xludf.DUMMYFUNCTION("""COMPUTED_VALUE"""),"de・miparati（INDIBA）")</f>
        <v>de・miparati（INDIBA）</v>
      </c>
      <c r="C72" s="3" t="str">
        <f>IFERROR(__xludf.DUMMYFUNCTION("""COMPUTED_VALUE"""),"https://demiparatiindiba.wixsite.com/demiparati")</f>
        <v>https://demiparatiindiba.wixsite.com/demiparati</v>
      </c>
      <c r="D72" s="1" t="str">
        <f>IFERROR(__xludf.DUMMYFUNCTION("""COMPUTED_VALUE"""),"△")</f>
        <v>△</v>
      </c>
      <c r="E72" s="1" t="str">
        <f>IFERROR(__xludf.DUMMYFUNCTION("""COMPUTED_VALUE"""),"Wixドメインの西鉄久留米駅近くにある完全予約制プライベートサロンのため")</f>
        <v>Wixドメインの西鉄久留米駅近くにある完全予約制プライベートサロンのため</v>
      </c>
      <c r="F72" s="4" t="s">
        <v>240</v>
      </c>
    </row>
    <row r="73" ht="15.75" customHeight="1">
      <c r="A73" s="2" t="str">
        <f t="shared" si="1"/>
        <v>1328</v>
      </c>
      <c r="B73" s="1" t="str">
        <f>IFERROR(__xludf.DUMMYFUNCTION("""COMPUTED_VALUE"""),"Plume blanche（プリュム ブランシュ）")</f>
        <v>Plume blanche（プリュム ブランシュ）</v>
      </c>
      <c r="C73" s="3" t="str">
        <f>IFERROR(__xludf.DUMMYFUNCTION("""COMPUTED_VALUE"""),"https://plume-b.jimdofree.com/")</f>
        <v>https://plume-b.jimdofree.com/</v>
      </c>
      <c r="D73" s="1" t="str">
        <f>IFERROR(__xludf.DUMMYFUNCTION("""COMPUTED_VALUE"""),"△")</f>
        <v>△</v>
      </c>
      <c r="E73" s="1" t="str">
        <f>IFERROR(__xludf.DUMMYFUNCTION("""COMPUTED_VALUE"""),"Jimdoドメインの久留米市内にある一日3名限定プライベートサロンのため")</f>
        <v>Jimdoドメインの久留米市内にある一日3名限定プライベートサロンのため</v>
      </c>
      <c r="F73" s="4" t="s">
        <v>241</v>
      </c>
    </row>
    <row r="74" ht="15.75" customHeight="1">
      <c r="A74" s="2" t="str">
        <f t="shared" si="1"/>
        <v>1329</v>
      </c>
      <c r="B74" s="1" t="str">
        <f>IFERROR(__xludf.DUMMYFUNCTION("""COMPUTED_VALUE"""),"AILINDA BEAUTY（アイリンダ）")</f>
        <v>AILINDA BEAUTY（アイリンダ）</v>
      </c>
      <c r="C74" s="3" t="str">
        <f>IFERROR(__xludf.DUMMYFUNCTION("""COMPUTED_VALUE"""),"https://ailinda.jimdofree.com/")</f>
        <v>https://ailinda.jimdofree.com/</v>
      </c>
      <c r="D74" s="1" t="str">
        <f>IFERROR(__xludf.DUMMYFUNCTION("""COMPUTED_VALUE"""),"△")</f>
        <v>△</v>
      </c>
      <c r="E74" s="1" t="str">
        <f>IFERROR(__xludf.DUMMYFUNCTION("""COMPUTED_VALUE"""),"Jimdoドメインの久留米市東町にある完全予約制女性限定サロンのため")</f>
        <v>Jimdoドメインの久留米市東町にある完全予約制女性限定サロンのため</v>
      </c>
      <c r="F74" s="4" t="s">
        <v>242</v>
      </c>
    </row>
    <row r="75" ht="15.75" customHeight="1">
      <c r="A75" s="2" t="str">
        <f t="shared" si="1"/>
        <v>1330</v>
      </c>
      <c r="B75" s="1" t="str">
        <f>IFERROR(__xludf.DUMMYFUNCTION("""COMPUTED_VALUE"""),"comfort House あらん")</f>
        <v>comfort House あらん</v>
      </c>
      <c r="C75" s="3" t="str">
        <f>IFERROR(__xludf.DUMMYFUNCTION("""COMPUTED_VALUE"""),"https://comfortaran.jimdofree.com/")</f>
        <v>https://comfortaran.jimdofree.com/</v>
      </c>
      <c r="D75" s="1" t="str">
        <f>IFERROR(__xludf.DUMMYFUNCTION("""COMPUTED_VALUE"""),"△")</f>
        <v>△</v>
      </c>
      <c r="E75" s="1" t="str">
        <f>IFERROR(__xludf.DUMMYFUNCTION("""COMPUTED_VALUE"""),"Jimdoドメインの西鉄柳川駅周辺にある女性専用占い鑑定所のため")</f>
        <v>Jimdoドメインの西鉄柳川駅周辺にある女性専用占い鑑定所のため</v>
      </c>
      <c r="F75" s="4" t="s">
        <v>243</v>
      </c>
    </row>
    <row r="76" ht="15.75" customHeight="1">
      <c r="A76" s="2" t="str">
        <f t="shared" si="1"/>
        <v>1331</v>
      </c>
      <c r="B76" s="1" t="str">
        <f>IFERROR(__xludf.DUMMYFUNCTION("""COMPUTED_VALUE"""),"岡藤タカヤ ギター教室")</f>
        <v>岡藤タカヤ ギター教室</v>
      </c>
      <c r="C76" s="3" t="str">
        <f>IFERROR(__xludf.DUMMYFUNCTION("""COMPUTED_VALUE"""),"https://takayanoyakata.jimdofree.com/")</f>
        <v>https://takayanoyakata.jimdofree.com/</v>
      </c>
      <c r="D76" s="1" t="str">
        <f>IFERROR(__xludf.DUMMYFUNCTION("""COMPUTED_VALUE"""),"△")</f>
        <v>△</v>
      </c>
      <c r="E76" s="1" t="str">
        <f>IFERROR(__xludf.DUMMYFUNCTION("""COMPUTED_VALUE"""),"Jimdoドメインの久留米市内にある自宅レッスン主体の個人教室のため")</f>
        <v>Jimdoドメインの久留米市内にある自宅レッスン主体の個人教室のため</v>
      </c>
      <c r="F76" s="4" t="s">
        <v>244</v>
      </c>
    </row>
    <row r="77" ht="15.75" customHeight="1">
      <c r="A77" s="2" t="str">
        <f t="shared" si="1"/>
        <v>1332</v>
      </c>
      <c r="B77" s="1" t="str">
        <f>IFERROR(__xludf.DUMMYFUNCTION("""COMPUTED_VALUE"""),"トータルケア.R")</f>
        <v>トータルケア.R</v>
      </c>
      <c r="C77" s="3" t="str">
        <f>IFERROR(__xludf.DUMMYFUNCTION("""COMPUTED_VALUE"""),"https://salonleem.wixsite.com/netorabasuthi/blank-2")</f>
        <v>https://salonleem.wixsite.com/netorabasuthi/blank-2</v>
      </c>
      <c r="D77" s="1" t="str">
        <f>IFERROR(__xludf.DUMMYFUNCTION("""COMPUTED_VALUE"""),"△")</f>
        <v>△</v>
      </c>
      <c r="E77" s="1" t="str">
        <f>IFERROR(__xludf.DUMMYFUNCTION("""COMPUTED_VALUE"""),"Wixドメインの久留米市内にある隠れ家型個人サロンのため")</f>
        <v>Wixドメインの久留米市内にある隠れ家型個人サロンのため</v>
      </c>
      <c r="F77" s="4" t="s">
        <v>245</v>
      </c>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5"/>
    <hyperlink r:id="rId2" ref="F5"/>
    <hyperlink r:id="rId3" ref="C6"/>
    <hyperlink r:id="rId4" ref="F6"/>
    <hyperlink r:id="rId5" ref="C7"/>
    <hyperlink r:id="rId6" ref="F7"/>
    <hyperlink r:id="rId7" ref="C8"/>
    <hyperlink r:id="rId8" ref="F8"/>
    <hyperlink r:id="rId9" ref="C9"/>
    <hyperlink r:id="rId10" ref="F9"/>
    <hyperlink r:id="rId11" ref="C10"/>
    <hyperlink r:id="rId12" ref="F10"/>
    <hyperlink r:id="rId13" ref="C11"/>
    <hyperlink r:id="rId14" ref="F11"/>
    <hyperlink r:id="rId15" ref="C12"/>
    <hyperlink r:id="rId16" ref="F12"/>
    <hyperlink r:id="rId17" ref="C13"/>
    <hyperlink r:id="rId18" ref="F13"/>
    <hyperlink r:id="rId19" ref="C14"/>
    <hyperlink r:id="rId20" ref="F14"/>
    <hyperlink r:id="rId21" ref="C15"/>
    <hyperlink r:id="rId22" ref="F15"/>
    <hyperlink r:id="rId23" ref="C16"/>
    <hyperlink r:id="rId24" ref="F16"/>
    <hyperlink r:id="rId25" ref="C17"/>
    <hyperlink r:id="rId26" ref="F17"/>
    <hyperlink r:id="rId27" ref="C18"/>
    <hyperlink r:id="rId28" ref="F18"/>
    <hyperlink r:id="rId29" ref="C19"/>
    <hyperlink r:id="rId30" ref="F19"/>
    <hyperlink r:id="rId31" ref="C20"/>
    <hyperlink r:id="rId32" ref="F20"/>
    <hyperlink r:id="rId33" ref="C21"/>
    <hyperlink r:id="rId34" ref="F21"/>
    <hyperlink r:id="rId35" ref="C22"/>
    <hyperlink r:id="rId36" ref="F22"/>
    <hyperlink r:id="rId37" ref="C23"/>
    <hyperlink r:id="rId38" ref="F23"/>
    <hyperlink r:id="rId39" ref="C24"/>
    <hyperlink r:id="rId40" ref="F24"/>
    <hyperlink r:id="rId41" ref="C25"/>
    <hyperlink r:id="rId42" ref="F25"/>
    <hyperlink r:id="rId43" ref="C26"/>
    <hyperlink r:id="rId44" ref="F26"/>
    <hyperlink r:id="rId45" ref="C27"/>
    <hyperlink r:id="rId46" ref="F27"/>
    <hyperlink r:id="rId47" ref="C28"/>
    <hyperlink r:id="rId48" ref="F28"/>
    <hyperlink r:id="rId49" ref="C29"/>
    <hyperlink r:id="rId50" ref="F29"/>
    <hyperlink r:id="rId51" ref="C30"/>
    <hyperlink r:id="rId52" ref="F30"/>
    <hyperlink r:id="rId53" ref="C31"/>
    <hyperlink r:id="rId54" ref="F31"/>
    <hyperlink r:id="rId55" ref="C32"/>
    <hyperlink r:id="rId56" ref="F32"/>
    <hyperlink r:id="rId57" ref="C33"/>
    <hyperlink r:id="rId58" ref="F33"/>
    <hyperlink r:id="rId59" ref="C34"/>
    <hyperlink r:id="rId60" ref="F34"/>
    <hyperlink r:id="rId61" ref="C35"/>
    <hyperlink r:id="rId62" ref="F35"/>
    <hyperlink r:id="rId63" ref="C36"/>
    <hyperlink r:id="rId64" ref="F36"/>
    <hyperlink r:id="rId65" ref="C37"/>
    <hyperlink r:id="rId66" ref="F37"/>
    <hyperlink r:id="rId67" ref="C38"/>
    <hyperlink r:id="rId68" ref="F38"/>
    <hyperlink r:id="rId69" ref="C39"/>
    <hyperlink r:id="rId70" ref="F39"/>
    <hyperlink r:id="rId71" ref="C40"/>
    <hyperlink r:id="rId72" ref="F40"/>
    <hyperlink r:id="rId73" ref="C41"/>
    <hyperlink r:id="rId74" ref="F41"/>
    <hyperlink r:id="rId75" ref="C42"/>
    <hyperlink r:id="rId76" ref="F42"/>
    <hyperlink r:id="rId77" ref="C43"/>
    <hyperlink r:id="rId78" ref="F43"/>
    <hyperlink r:id="rId79" ref="C44"/>
    <hyperlink r:id="rId80" ref="F44"/>
    <hyperlink r:id="rId81" ref="C45"/>
    <hyperlink r:id="rId82" ref="F45"/>
    <hyperlink r:id="rId83" ref="C46"/>
    <hyperlink r:id="rId84" ref="F46"/>
    <hyperlink r:id="rId85" ref="C47"/>
    <hyperlink r:id="rId86" ref="F47"/>
    <hyperlink r:id="rId87" ref="C48"/>
    <hyperlink r:id="rId88" ref="F48"/>
    <hyperlink r:id="rId89" ref="C49"/>
    <hyperlink r:id="rId90" ref="F49"/>
    <hyperlink r:id="rId91" ref="C50"/>
    <hyperlink r:id="rId92" ref="F50"/>
    <hyperlink r:id="rId93" ref="C51"/>
    <hyperlink r:id="rId94" ref="F51"/>
    <hyperlink r:id="rId95" ref="C52"/>
    <hyperlink r:id="rId96" ref="F52"/>
    <hyperlink r:id="rId97" ref="C53"/>
    <hyperlink r:id="rId98" ref="F53"/>
    <hyperlink r:id="rId99" ref="C54"/>
    <hyperlink r:id="rId100" ref="F54"/>
    <hyperlink r:id="rId101" ref="C55"/>
    <hyperlink r:id="rId102" ref="F55"/>
    <hyperlink r:id="rId103" ref="C56"/>
    <hyperlink r:id="rId104" ref="F56"/>
    <hyperlink r:id="rId105" ref="C57"/>
    <hyperlink r:id="rId106" ref="F57"/>
    <hyperlink r:id="rId107" ref="C58"/>
    <hyperlink r:id="rId108" ref="F58"/>
    <hyperlink r:id="rId109" ref="C59"/>
    <hyperlink r:id="rId110" ref="F59"/>
    <hyperlink r:id="rId111" ref="C60"/>
    <hyperlink r:id="rId112" ref="F60"/>
    <hyperlink r:id="rId113" ref="C61"/>
    <hyperlink r:id="rId114" ref="F61"/>
    <hyperlink r:id="rId115" ref="C62"/>
    <hyperlink r:id="rId116" ref="F62"/>
    <hyperlink r:id="rId117" ref="C63"/>
    <hyperlink r:id="rId118" ref="F63"/>
    <hyperlink r:id="rId119" ref="C64"/>
    <hyperlink r:id="rId120" ref="F64"/>
    <hyperlink r:id="rId121" ref="C65"/>
    <hyperlink r:id="rId122" ref="F65"/>
    <hyperlink r:id="rId123" ref="C66"/>
    <hyperlink r:id="rId124" ref="F66"/>
    <hyperlink r:id="rId125" ref="C67"/>
    <hyperlink r:id="rId126" ref="F67"/>
    <hyperlink r:id="rId127" ref="C68"/>
    <hyperlink r:id="rId128" ref="F68"/>
    <hyperlink r:id="rId129" ref="C69"/>
    <hyperlink r:id="rId130" ref="F69"/>
    <hyperlink r:id="rId131" ref="C70"/>
    <hyperlink r:id="rId132" ref="F70"/>
    <hyperlink r:id="rId133" ref="C71"/>
    <hyperlink r:id="rId134" ref="F71"/>
    <hyperlink r:id="rId135" ref="C72"/>
    <hyperlink r:id="rId136" ref="F72"/>
    <hyperlink r:id="rId137" ref="C73"/>
    <hyperlink r:id="rId138" ref="F73"/>
    <hyperlink r:id="rId139" ref="C74"/>
    <hyperlink r:id="rId140" ref="F74"/>
    <hyperlink r:id="rId141" ref="C75"/>
    <hyperlink r:id="rId142" ref="F75"/>
    <hyperlink r:id="rId143" ref="C76"/>
    <hyperlink r:id="rId144" ref="F76"/>
    <hyperlink r:id="rId145" ref="C77"/>
    <hyperlink r:id="rId146" ref="F77"/>
  </hyperlinks>
  <printOptions/>
  <pageMargins bottom="1.0" footer="0.0" header="0.0" left="0.75" right="0.75" top="1.0"/>
  <pageSetup orientation="landscape"/>
  <drawing r:id="rId14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246</v>
      </c>
      <c r="B1" s="1" t="s">
        <v>247</v>
      </c>
      <c r="C1" s="1" t="s">
        <v>248</v>
      </c>
      <c r="D1" s="1" t="s">
        <v>249</v>
      </c>
    </row>
    <row r="2">
      <c r="A2" s="1" t="s">
        <v>250</v>
      </c>
      <c r="B2" s="1" t="s">
        <v>251</v>
      </c>
      <c r="C2" s="1" t="s">
        <v>252</v>
      </c>
      <c r="D2" s="1" t="s">
        <v>253</v>
      </c>
    </row>
    <row r="3">
      <c r="A3" s="1" t="s">
        <v>254</v>
      </c>
      <c r="B3" s="1" t="s">
        <v>255</v>
      </c>
      <c r="C3" s="1" t="s">
        <v>252</v>
      </c>
      <c r="D3" s="1" t="s">
        <v>256</v>
      </c>
    </row>
    <row r="4">
      <c r="A4" s="1" t="s">
        <v>257</v>
      </c>
      <c r="B4" s="1" t="s">
        <v>258</v>
      </c>
      <c r="C4" s="1" t="s">
        <v>252</v>
      </c>
      <c r="D4" s="1" t="s">
        <v>256</v>
      </c>
    </row>
    <row r="5">
      <c r="A5" s="1" t="s">
        <v>259</v>
      </c>
      <c r="B5" s="1" t="s">
        <v>260</v>
      </c>
      <c r="C5" s="1" t="s">
        <v>261</v>
      </c>
      <c r="D5" s="1" t="s">
        <v>262</v>
      </c>
    </row>
    <row r="6">
      <c r="A6" s="1" t="s">
        <v>263</v>
      </c>
      <c r="B6" s="1" t="s">
        <v>264</v>
      </c>
      <c r="C6" s="1" t="s">
        <v>261</v>
      </c>
      <c r="D6" s="1" t="s">
        <v>262</v>
      </c>
    </row>
    <row r="7">
      <c r="A7" s="1" t="s">
        <v>265</v>
      </c>
      <c r="B7" s="1" t="s">
        <v>266</v>
      </c>
      <c r="C7" s="1" t="s">
        <v>261</v>
      </c>
      <c r="D7" s="1" t="s">
        <v>267</v>
      </c>
    </row>
    <row r="8">
      <c r="A8" s="1" t="s">
        <v>268</v>
      </c>
      <c r="B8" s="1" t="s">
        <v>269</v>
      </c>
      <c r="C8" s="1" t="s">
        <v>261</v>
      </c>
      <c r="D8" s="1" t="s">
        <v>262</v>
      </c>
    </row>
    <row r="9">
      <c r="A9" s="1" t="s">
        <v>270</v>
      </c>
      <c r="B9" s="1" t="s">
        <v>271</v>
      </c>
      <c r="C9" s="1" t="s">
        <v>261</v>
      </c>
      <c r="D9" s="1" t="s">
        <v>272</v>
      </c>
    </row>
    <row r="10">
      <c r="A10" s="1" t="s">
        <v>273</v>
      </c>
      <c r="B10" s="1" t="s">
        <v>274</v>
      </c>
      <c r="C10" s="1" t="s">
        <v>261</v>
      </c>
      <c r="D10" s="1" t="s">
        <v>275</v>
      </c>
    </row>
    <row r="11">
      <c r="A11" s="1" t="s">
        <v>276</v>
      </c>
      <c r="B11" s="1" t="s">
        <v>277</v>
      </c>
      <c r="C11" s="1" t="s">
        <v>261</v>
      </c>
      <c r="D11" s="1" t="s">
        <v>278</v>
      </c>
    </row>
    <row r="12">
      <c r="A12" s="1" t="s">
        <v>279</v>
      </c>
      <c r="B12" s="1" t="s">
        <v>280</v>
      </c>
      <c r="C12" s="1" t="s">
        <v>252</v>
      </c>
      <c r="D12" s="1" t="s">
        <v>256</v>
      </c>
    </row>
    <row r="13">
      <c r="A13" s="1" t="s">
        <v>281</v>
      </c>
      <c r="B13" s="1" t="s">
        <v>282</v>
      </c>
      <c r="C13" s="1" t="s">
        <v>261</v>
      </c>
      <c r="D13" s="1" t="s">
        <v>262</v>
      </c>
    </row>
    <row r="14">
      <c r="A14" s="1" t="s">
        <v>283</v>
      </c>
      <c r="B14" s="1" t="s">
        <v>284</v>
      </c>
      <c r="C14" s="1" t="s">
        <v>261</v>
      </c>
      <c r="D14" s="1" t="s">
        <v>262</v>
      </c>
    </row>
    <row r="15">
      <c r="A15" s="1" t="s">
        <v>285</v>
      </c>
      <c r="B15" s="1" t="s">
        <v>286</v>
      </c>
      <c r="C15" s="1" t="s">
        <v>261</v>
      </c>
      <c r="D15" s="1" t="s">
        <v>262</v>
      </c>
    </row>
    <row r="16">
      <c r="A16" s="1" t="s">
        <v>287</v>
      </c>
      <c r="B16" s="1" t="s">
        <v>288</v>
      </c>
      <c r="C16" s="1" t="s">
        <v>261</v>
      </c>
      <c r="D16" s="1" t="s">
        <v>262</v>
      </c>
    </row>
    <row r="17">
      <c r="A17" s="1" t="s">
        <v>289</v>
      </c>
      <c r="B17" s="1" t="s">
        <v>290</v>
      </c>
      <c r="C17" s="1" t="s">
        <v>261</v>
      </c>
      <c r="D17" s="1" t="s">
        <v>278</v>
      </c>
    </row>
    <row r="18">
      <c r="A18" s="1" t="s">
        <v>291</v>
      </c>
      <c r="B18" s="1" t="s">
        <v>292</v>
      </c>
      <c r="C18" s="1" t="s">
        <v>261</v>
      </c>
      <c r="D18" s="1" t="s">
        <v>293</v>
      </c>
    </row>
    <row r="19">
      <c r="A19" s="1" t="s">
        <v>294</v>
      </c>
      <c r="B19" s="1" t="s">
        <v>295</v>
      </c>
      <c r="C19" s="1" t="s">
        <v>261</v>
      </c>
      <c r="D19" s="1" t="s">
        <v>296</v>
      </c>
    </row>
    <row r="20">
      <c r="A20" s="1" t="s">
        <v>297</v>
      </c>
      <c r="B20" s="1" t="s">
        <v>298</v>
      </c>
      <c r="C20" s="1" t="s">
        <v>252</v>
      </c>
      <c r="D20" s="1" t="s">
        <v>299</v>
      </c>
    </row>
    <row r="21" ht="15.75" customHeight="1">
      <c r="A21" s="1" t="s">
        <v>300</v>
      </c>
      <c r="B21" s="1" t="s">
        <v>301</v>
      </c>
      <c r="C21" s="1" t="s">
        <v>261</v>
      </c>
      <c r="D21" s="1" t="s">
        <v>302</v>
      </c>
    </row>
    <row r="22" ht="15.75" customHeight="1">
      <c r="A22" s="1" t="s">
        <v>303</v>
      </c>
      <c r="B22" s="1" t="s">
        <v>304</v>
      </c>
      <c r="C22" s="1" t="s">
        <v>261</v>
      </c>
      <c r="D22" s="1" t="s">
        <v>262</v>
      </c>
    </row>
    <row r="23" ht="15.75" customHeight="1">
      <c r="A23" s="1" t="s">
        <v>305</v>
      </c>
      <c r="B23" s="1" t="s">
        <v>306</v>
      </c>
      <c r="C23" s="1" t="s">
        <v>261</v>
      </c>
      <c r="D23" s="1" t="s">
        <v>272</v>
      </c>
    </row>
    <row r="24" ht="15.75" customHeight="1">
      <c r="A24" s="1" t="s">
        <v>307</v>
      </c>
      <c r="B24" s="1" t="s">
        <v>308</v>
      </c>
      <c r="C24" s="1" t="s">
        <v>261</v>
      </c>
      <c r="D24" s="1" t="s">
        <v>309</v>
      </c>
    </row>
    <row r="25" ht="15.75" customHeight="1">
      <c r="A25" s="1" t="s">
        <v>310</v>
      </c>
      <c r="B25" s="1" t="s">
        <v>311</v>
      </c>
      <c r="C25" s="1" t="s">
        <v>261</v>
      </c>
      <c r="D25" s="1" t="s">
        <v>296</v>
      </c>
    </row>
    <row r="26" ht="15.75" customHeight="1">
      <c r="A26" s="1" t="s">
        <v>312</v>
      </c>
      <c r="B26" s="1" t="s">
        <v>313</v>
      </c>
      <c r="C26" s="1" t="s">
        <v>261</v>
      </c>
      <c r="D26" s="1" t="s">
        <v>262</v>
      </c>
    </row>
    <row r="27" ht="15.75" customHeight="1">
      <c r="A27" s="1" t="s">
        <v>314</v>
      </c>
      <c r="B27" s="1" t="s">
        <v>315</v>
      </c>
      <c r="C27" s="1" t="s">
        <v>261</v>
      </c>
      <c r="D27" s="1" t="s">
        <v>267</v>
      </c>
    </row>
    <row r="28" ht="15.75" customHeight="1">
      <c r="A28" s="1" t="s">
        <v>316</v>
      </c>
      <c r="B28" s="1" t="s">
        <v>317</v>
      </c>
      <c r="C28" s="1" t="s">
        <v>318</v>
      </c>
      <c r="D28" s="1" t="s">
        <v>319</v>
      </c>
    </row>
    <row r="29" ht="15.75" customHeight="1">
      <c r="A29" s="1" t="s">
        <v>320</v>
      </c>
      <c r="B29" s="1" t="s">
        <v>321</v>
      </c>
      <c r="C29" s="1" t="s">
        <v>318</v>
      </c>
      <c r="D29" s="1" t="s">
        <v>322</v>
      </c>
    </row>
    <row r="30" ht="15.75" customHeight="1">
      <c r="A30" s="1" t="s">
        <v>323</v>
      </c>
      <c r="B30" s="1" t="s">
        <v>324</v>
      </c>
      <c r="C30" s="1" t="s">
        <v>318</v>
      </c>
      <c r="D30" s="1" t="s">
        <v>325</v>
      </c>
    </row>
    <row r="31" ht="15.75" customHeight="1">
      <c r="A31" s="1" t="s">
        <v>326</v>
      </c>
      <c r="B31" s="1" t="s">
        <v>327</v>
      </c>
      <c r="C31" s="1" t="s">
        <v>318</v>
      </c>
      <c r="D31" s="1" t="s">
        <v>328</v>
      </c>
    </row>
    <row r="32" ht="15.75" customHeight="1">
      <c r="A32" s="1" t="s">
        <v>329</v>
      </c>
      <c r="B32" s="1" t="s">
        <v>330</v>
      </c>
      <c r="C32" s="1" t="s">
        <v>318</v>
      </c>
      <c r="D32" s="1" t="s">
        <v>331</v>
      </c>
    </row>
    <row r="33" ht="15.75" customHeight="1">
      <c r="A33" s="1" t="s">
        <v>332</v>
      </c>
      <c r="B33" s="1" t="s">
        <v>333</v>
      </c>
      <c r="C33" s="1" t="s">
        <v>261</v>
      </c>
      <c r="D33" s="1" t="s">
        <v>334</v>
      </c>
    </row>
    <row r="34" ht="15.75" customHeight="1">
      <c r="A34" s="1" t="s">
        <v>335</v>
      </c>
      <c r="B34" s="1" t="s">
        <v>336</v>
      </c>
      <c r="C34" s="1" t="s">
        <v>318</v>
      </c>
      <c r="D34" s="1" t="s">
        <v>337</v>
      </c>
    </row>
    <row r="35" ht="15.75" customHeight="1">
      <c r="A35" s="1" t="s">
        <v>338</v>
      </c>
      <c r="C35" s="1" t="s">
        <v>261</v>
      </c>
      <c r="D35" s="1" t="s">
        <v>339</v>
      </c>
    </row>
    <row r="36" ht="15.75" customHeight="1">
      <c r="A36" s="1" t="s">
        <v>340</v>
      </c>
      <c r="B36" s="1" t="s">
        <v>341</v>
      </c>
      <c r="C36" s="1" t="s">
        <v>318</v>
      </c>
      <c r="D36" s="1" t="s">
        <v>342</v>
      </c>
    </row>
    <row r="37" ht="15.75" customHeight="1">
      <c r="A37" s="1" t="s">
        <v>343</v>
      </c>
      <c r="B37" s="1" t="s">
        <v>344</v>
      </c>
      <c r="C37" s="1" t="s">
        <v>318</v>
      </c>
      <c r="D37" s="1" t="s">
        <v>345</v>
      </c>
    </row>
    <row r="38" ht="15.75" customHeight="1">
      <c r="A38" s="1" t="s">
        <v>346</v>
      </c>
      <c r="B38" s="1" t="s">
        <v>347</v>
      </c>
      <c r="C38" s="1" t="s">
        <v>318</v>
      </c>
      <c r="D38" s="1" t="s">
        <v>348</v>
      </c>
    </row>
    <row r="39" ht="15.75" customHeight="1">
      <c r="A39" s="1" t="s">
        <v>349</v>
      </c>
      <c r="B39" s="1" t="s">
        <v>350</v>
      </c>
      <c r="C39" s="1" t="s">
        <v>318</v>
      </c>
      <c r="D39" s="1" t="s">
        <v>351</v>
      </c>
    </row>
    <row r="40" ht="15.75" customHeight="1">
      <c r="A40" s="1" t="s">
        <v>352</v>
      </c>
      <c r="B40" s="1" t="s">
        <v>353</v>
      </c>
      <c r="C40" s="1" t="s">
        <v>261</v>
      </c>
      <c r="D40" s="1" t="s">
        <v>354</v>
      </c>
    </row>
    <row r="41" ht="15.75" customHeight="1">
      <c r="A41" s="1" t="s">
        <v>355</v>
      </c>
      <c r="B41" s="1" t="s">
        <v>356</v>
      </c>
      <c r="C41" s="1" t="s">
        <v>318</v>
      </c>
      <c r="D41" s="1" t="s">
        <v>357</v>
      </c>
    </row>
    <row r="42" ht="15.75" customHeight="1">
      <c r="A42" s="1" t="s">
        <v>358</v>
      </c>
      <c r="B42" s="1" t="s">
        <v>359</v>
      </c>
      <c r="C42" s="1" t="s">
        <v>318</v>
      </c>
      <c r="D42" s="1" t="s">
        <v>360</v>
      </c>
    </row>
    <row r="43" ht="15.75" customHeight="1">
      <c r="A43" s="1" t="s">
        <v>361</v>
      </c>
      <c r="B43" s="1" t="s">
        <v>362</v>
      </c>
      <c r="C43" s="1" t="s">
        <v>261</v>
      </c>
      <c r="D43" s="1" t="s">
        <v>363</v>
      </c>
    </row>
    <row r="44" ht="15.75" customHeight="1">
      <c r="A44" s="1" t="s">
        <v>364</v>
      </c>
      <c r="B44" s="1" t="s">
        <v>365</v>
      </c>
      <c r="C44" s="1" t="s">
        <v>318</v>
      </c>
      <c r="D44" s="1" t="s">
        <v>366</v>
      </c>
    </row>
    <row r="45" ht="15.75" customHeight="1">
      <c r="A45" s="1" t="s">
        <v>367</v>
      </c>
      <c r="B45" s="1" t="s">
        <v>368</v>
      </c>
      <c r="C45" s="1" t="s">
        <v>261</v>
      </c>
      <c r="D45" s="1" t="s">
        <v>369</v>
      </c>
    </row>
    <row r="46" ht="15.75" customHeight="1">
      <c r="A46" s="1" t="s">
        <v>370</v>
      </c>
      <c r="B46" s="1" t="s">
        <v>371</v>
      </c>
      <c r="C46" s="1" t="s">
        <v>318</v>
      </c>
      <c r="D46" s="1" t="s">
        <v>372</v>
      </c>
    </row>
    <row r="47" ht="15.75" customHeight="1">
      <c r="A47" s="1" t="s">
        <v>373</v>
      </c>
      <c r="B47" s="1" t="s">
        <v>374</v>
      </c>
      <c r="C47" s="1" t="s">
        <v>261</v>
      </c>
      <c r="D47" s="1" t="s">
        <v>375</v>
      </c>
    </row>
    <row r="48" ht="15.75" customHeight="1">
      <c r="A48" s="1" t="s">
        <v>376</v>
      </c>
      <c r="B48" s="1" t="s">
        <v>377</v>
      </c>
      <c r="C48" s="1" t="s">
        <v>318</v>
      </c>
      <c r="D48" s="1" t="s">
        <v>378</v>
      </c>
    </row>
    <row r="49" ht="15.75" customHeight="1">
      <c r="A49" s="1" t="s">
        <v>379</v>
      </c>
      <c r="B49" s="1" t="s">
        <v>380</v>
      </c>
      <c r="C49" s="1" t="s">
        <v>261</v>
      </c>
      <c r="D49" s="1" t="s">
        <v>381</v>
      </c>
    </row>
    <row r="50" ht="15.75" customHeight="1">
      <c r="A50" s="1" t="s">
        <v>382</v>
      </c>
      <c r="B50" s="1" t="s">
        <v>383</v>
      </c>
      <c r="C50" s="1" t="s">
        <v>261</v>
      </c>
      <c r="D50" s="1" t="s">
        <v>384</v>
      </c>
    </row>
    <row r="51" ht="15.75" customHeight="1">
      <c r="A51" s="1" t="s">
        <v>385</v>
      </c>
      <c r="B51" s="1" t="s">
        <v>386</v>
      </c>
      <c r="C51" s="1" t="s">
        <v>318</v>
      </c>
      <c r="D51" s="1" t="s">
        <v>387</v>
      </c>
    </row>
    <row r="52" ht="15.75" customHeight="1">
      <c r="A52" s="1" t="s">
        <v>388</v>
      </c>
      <c r="B52" s="1" t="s">
        <v>389</v>
      </c>
      <c r="C52" s="1" t="s">
        <v>318</v>
      </c>
      <c r="D52" s="1" t="s">
        <v>390</v>
      </c>
    </row>
    <row r="53" ht="15.75" customHeight="1">
      <c r="A53" s="1" t="s">
        <v>391</v>
      </c>
      <c r="B53" s="1" t="s">
        <v>392</v>
      </c>
      <c r="C53" s="1" t="s">
        <v>261</v>
      </c>
      <c r="D53" s="1" t="s">
        <v>393</v>
      </c>
    </row>
    <row r="54" ht="15.75" customHeight="1">
      <c r="A54" s="1" t="s">
        <v>394</v>
      </c>
      <c r="B54" s="1" t="s">
        <v>395</v>
      </c>
      <c r="C54" s="1" t="s">
        <v>318</v>
      </c>
      <c r="D54" s="1" t="s">
        <v>396</v>
      </c>
    </row>
    <row r="55" ht="15.75" customHeight="1">
      <c r="A55" s="1" t="s">
        <v>397</v>
      </c>
      <c r="B55" s="1" t="s">
        <v>398</v>
      </c>
      <c r="C55" s="1" t="s">
        <v>318</v>
      </c>
      <c r="D55" s="1" t="s">
        <v>399</v>
      </c>
    </row>
    <row r="56" ht="15.75" customHeight="1">
      <c r="A56" s="1" t="s">
        <v>400</v>
      </c>
      <c r="B56" s="1" t="s">
        <v>401</v>
      </c>
      <c r="C56" s="1" t="s">
        <v>318</v>
      </c>
      <c r="D56" s="1" t="s">
        <v>402</v>
      </c>
    </row>
    <row r="57" ht="15.75" customHeight="1">
      <c r="A57" s="1" t="s">
        <v>403</v>
      </c>
      <c r="B57" s="1" t="s">
        <v>404</v>
      </c>
      <c r="C57" s="1" t="s">
        <v>261</v>
      </c>
      <c r="D57" s="1" t="s">
        <v>405</v>
      </c>
    </row>
    <row r="58" ht="15.75" customHeight="1">
      <c r="A58" s="1" t="s">
        <v>406</v>
      </c>
      <c r="B58" s="1" t="s">
        <v>407</v>
      </c>
      <c r="C58" s="1" t="s">
        <v>318</v>
      </c>
      <c r="D58" s="1" t="s">
        <v>408</v>
      </c>
    </row>
    <row r="59" ht="15.75" customHeight="1">
      <c r="A59" s="1" t="s">
        <v>246</v>
      </c>
      <c r="B59" s="1" t="s">
        <v>247</v>
      </c>
      <c r="C59" s="1" t="s">
        <v>248</v>
      </c>
      <c r="D59" s="1" t="s">
        <v>249</v>
      </c>
    </row>
    <row r="60" ht="15.75" customHeight="1">
      <c r="A60" s="1" t="s">
        <v>409</v>
      </c>
      <c r="B60" s="1" t="s">
        <v>410</v>
      </c>
      <c r="C60" s="1" t="s">
        <v>252</v>
      </c>
      <c r="D60" s="1" t="s">
        <v>411</v>
      </c>
    </row>
    <row r="61" ht="15.75" customHeight="1">
      <c r="A61" s="1" t="s">
        <v>412</v>
      </c>
      <c r="B61" s="1" t="s">
        <v>413</v>
      </c>
      <c r="C61" s="1" t="s">
        <v>252</v>
      </c>
      <c r="D61" s="1" t="s">
        <v>414</v>
      </c>
    </row>
    <row r="62" ht="15.75" customHeight="1">
      <c r="A62" s="1" t="s">
        <v>415</v>
      </c>
      <c r="B62" s="1" t="s">
        <v>416</v>
      </c>
      <c r="C62" s="1" t="s">
        <v>261</v>
      </c>
      <c r="D62" s="1" t="s">
        <v>417</v>
      </c>
    </row>
    <row r="63" ht="15.75" customHeight="1">
      <c r="A63" s="1" t="s">
        <v>418</v>
      </c>
      <c r="B63" s="1" t="s">
        <v>419</v>
      </c>
      <c r="C63" s="1" t="s">
        <v>261</v>
      </c>
      <c r="D63" s="1" t="s">
        <v>420</v>
      </c>
    </row>
    <row r="64" ht="15.75" customHeight="1">
      <c r="A64" s="1" t="s">
        <v>421</v>
      </c>
      <c r="B64" s="1" t="s">
        <v>422</v>
      </c>
      <c r="C64" s="1" t="s">
        <v>261</v>
      </c>
      <c r="D64" s="1" t="s">
        <v>423</v>
      </c>
    </row>
    <row r="65" ht="15.75" customHeight="1">
      <c r="A65" s="1" t="s">
        <v>424</v>
      </c>
      <c r="B65" s="1" t="s">
        <v>425</v>
      </c>
      <c r="C65" s="1" t="s">
        <v>252</v>
      </c>
      <c r="D65" s="1" t="s">
        <v>426</v>
      </c>
    </row>
    <row r="66" ht="15.75" customHeight="1">
      <c r="A66" s="1" t="s">
        <v>427</v>
      </c>
      <c r="B66" s="1" t="s">
        <v>428</v>
      </c>
      <c r="C66" s="1" t="s">
        <v>261</v>
      </c>
      <c r="D66" s="1" t="s">
        <v>429</v>
      </c>
    </row>
    <row r="67" ht="15.75" customHeight="1">
      <c r="A67" s="1" t="s">
        <v>430</v>
      </c>
      <c r="B67" s="1" t="s">
        <v>431</v>
      </c>
      <c r="C67" s="1" t="s">
        <v>261</v>
      </c>
      <c r="D67" s="1" t="s">
        <v>432</v>
      </c>
    </row>
    <row r="68" ht="15.75" customHeight="1">
      <c r="A68" s="1" t="s">
        <v>433</v>
      </c>
      <c r="B68" s="1" t="s">
        <v>434</v>
      </c>
      <c r="C68" s="1" t="s">
        <v>261</v>
      </c>
      <c r="D68" s="1" t="s">
        <v>435</v>
      </c>
    </row>
    <row r="69" ht="15.75" customHeight="1">
      <c r="A69" s="1" t="s">
        <v>436</v>
      </c>
      <c r="B69" s="1" t="s">
        <v>437</v>
      </c>
      <c r="C69" s="1" t="s">
        <v>261</v>
      </c>
      <c r="D69" s="1" t="s">
        <v>438</v>
      </c>
    </row>
    <row r="70" ht="15.75" customHeight="1">
      <c r="A70" s="1" t="s">
        <v>439</v>
      </c>
      <c r="B70" s="1" t="s">
        <v>440</v>
      </c>
      <c r="C70" s="1" t="s">
        <v>261</v>
      </c>
      <c r="D70" s="1" t="s">
        <v>441</v>
      </c>
    </row>
    <row r="71" ht="15.75" customHeight="1">
      <c r="A71" s="1" t="s">
        <v>442</v>
      </c>
      <c r="B71" s="1" t="s">
        <v>443</v>
      </c>
      <c r="C71" s="1" t="s">
        <v>252</v>
      </c>
      <c r="D71" s="1" t="s">
        <v>444</v>
      </c>
    </row>
    <row r="72" ht="15.75" customHeight="1">
      <c r="A72" s="1" t="s">
        <v>445</v>
      </c>
      <c r="B72" s="1" t="s">
        <v>446</v>
      </c>
      <c r="C72" s="1" t="s">
        <v>261</v>
      </c>
      <c r="D72" s="1" t="s">
        <v>447</v>
      </c>
    </row>
    <row r="73" ht="15.75" customHeight="1">
      <c r="A73" s="1" t="s">
        <v>448</v>
      </c>
      <c r="B73" s="1" t="s">
        <v>449</v>
      </c>
      <c r="C73" s="1" t="s">
        <v>261</v>
      </c>
      <c r="D73" s="1" t="s">
        <v>450</v>
      </c>
    </row>
    <row r="74" ht="15.75" customHeight="1">
      <c r="A74" s="1" t="s">
        <v>451</v>
      </c>
      <c r="B74" s="1" t="s">
        <v>452</v>
      </c>
      <c r="C74" s="1" t="s">
        <v>252</v>
      </c>
      <c r="D74" s="1" t="s">
        <v>453</v>
      </c>
    </row>
    <row r="75" ht="15.75" customHeight="1">
      <c r="A75" s="1" t="s">
        <v>454</v>
      </c>
      <c r="B75" s="1" t="s">
        <v>455</v>
      </c>
      <c r="C75" s="1" t="s">
        <v>261</v>
      </c>
      <c r="D75" s="1" t="s">
        <v>456</v>
      </c>
    </row>
    <row r="76" ht="15.75" customHeight="1">
      <c r="A76" s="1" t="s">
        <v>457</v>
      </c>
      <c r="B76" s="1" t="s">
        <v>458</v>
      </c>
      <c r="C76" s="1" t="s">
        <v>261</v>
      </c>
      <c r="D76" s="1" t="s">
        <v>459</v>
      </c>
    </row>
    <row r="77" ht="15.75" customHeight="1">
      <c r="A77" s="1" t="s">
        <v>460</v>
      </c>
      <c r="B77" s="1" t="s">
        <v>461</v>
      </c>
      <c r="C77" s="1" t="s">
        <v>252</v>
      </c>
      <c r="D77" s="1" t="s">
        <v>462</v>
      </c>
    </row>
    <row r="78" ht="15.75" customHeight="1">
      <c r="A78" s="1" t="s">
        <v>463</v>
      </c>
      <c r="B78" s="1" t="s">
        <v>464</v>
      </c>
      <c r="C78" s="1" t="s">
        <v>261</v>
      </c>
      <c r="D78" s="1" t="s">
        <v>465</v>
      </c>
    </row>
    <row r="79" ht="15.75" customHeight="1">
      <c r="A79" s="1" t="s">
        <v>466</v>
      </c>
      <c r="B79" s="1" t="s">
        <v>467</v>
      </c>
      <c r="C79" s="1" t="s">
        <v>261</v>
      </c>
      <c r="D79" s="1" t="s">
        <v>468</v>
      </c>
    </row>
    <row r="80" ht="15.75" customHeight="1">
      <c r="A80" s="1" t="s">
        <v>469</v>
      </c>
      <c r="B80" s="1" t="s">
        <v>470</v>
      </c>
      <c r="C80" s="1" t="s">
        <v>252</v>
      </c>
      <c r="D80" s="1" t="s">
        <v>471</v>
      </c>
    </row>
    <row r="81" ht="15.75" customHeight="1">
      <c r="A81" s="1" t="s">
        <v>472</v>
      </c>
      <c r="B81" s="1" t="s">
        <v>473</v>
      </c>
      <c r="C81" s="1" t="s">
        <v>261</v>
      </c>
      <c r="D81" s="1" t="s">
        <v>474</v>
      </c>
    </row>
    <row r="82" ht="15.75" customHeight="1">
      <c r="A82" s="1" t="s">
        <v>475</v>
      </c>
      <c r="B82" s="1" t="s">
        <v>476</v>
      </c>
      <c r="C82" s="1" t="s">
        <v>252</v>
      </c>
      <c r="D82" s="1" t="s">
        <v>477</v>
      </c>
    </row>
    <row r="83" ht="15.75" customHeight="1">
      <c r="A83" s="1" t="s">
        <v>478</v>
      </c>
      <c r="B83" s="1" t="s">
        <v>479</v>
      </c>
      <c r="C83" s="1" t="s">
        <v>261</v>
      </c>
      <c r="D83" s="1" t="s">
        <v>480</v>
      </c>
    </row>
    <row r="84" ht="15.75" customHeight="1">
      <c r="A84" s="1" t="s">
        <v>481</v>
      </c>
      <c r="B84" s="1" t="s">
        <v>482</v>
      </c>
      <c r="C84" s="1" t="s">
        <v>261</v>
      </c>
      <c r="D84" s="1" t="s">
        <v>483</v>
      </c>
    </row>
    <row r="85" ht="15.75" customHeight="1">
      <c r="A85" s="1" t="s">
        <v>484</v>
      </c>
      <c r="B85" s="1" t="s">
        <v>485</v>
      </c>
      <c r="C85" s="1" t="s">
        <v>252</v>
      </c>
      <c r="D85" s="1" t="s">
        <v>486</v>
      </c>
    </row>
    <row r="86" ht="15.75" customHeight="1">
      <c r="A86" s="1" t="s">
        <v>487</v>
      </c>
      <c r="B86" s="1" t="s">
        <v>488</v>
      </c>
      <c r="C86" s="1" t="s">
        <v>261</v>
      </c>
      <c r="D86" s="1" t="s">
        <v>489</v>
      </c>
    </row>
    <row r="87" ht="15.75" customHeight="1">
      <c r="A87" s="1" t="s">
        <v>490</v>
      </c>
      <c r="B87" s="1" t="s">
        <v>491</v>
      </c>
      <c r="C87" s="1" t="s">
        <v>261</v>
      </c>
      <c r="D87" s="1" t="s">
        <v>492</v>
      </c>
    </row>
    <row r="88" ht="15.75" customHeight="1">
      <c r="A88" s="1" t="s">
        <v>493</v>
      </c>
      <c r="B88" s="1" t="s">
        <v>494</v>
      </c>
      <c r="C88" s="1" t="s">
        <v>261</v>
      </c>
      <c r="D88" s="1" t="s">
        <v>495</v>
      </c>
    </row>
    <row r="89" ht="15.75" customHeight="1">
      <c r="A89" s="1" t="s">
        <v>496</v>
      </c>
      <c r="B89" s="1" t="s">
        <v>497</v>
      </c>
      <c r="C89" s="1" t="s">
        <v>261</v>
      </c>
      <c r="D89" s="1" t="s">
        <v>498</v>
      </c>
    </row>
    <row r="90" ht="15.75" customHeight="1">
      <c r="A90" s="1" t="s">
        <v>499</v>
      </c>
      <c r="B90" s="1" t="s">
        <v>500</v>
      </c>
      <c r="C90" s="1" t="s">
        <v>252</v>
      </c>
      <c r="D90" s="1" t="s">
        <v>501</v>
      </c>
    </row>
    <row r="91" ht="15.75" customHeight="1">
      <c r="A91" s="1" t="s">
        <v>502</v>
      </c>
      <c r="B91" s="1" t="s">
        <v>503</v>
      </c>
      <c r="C91" s="1" t="s">
        <v>261</v>
      </c>
      <c r="D91" s="1" t="s">
        <v>504</v>
      </c>
    </row>
    <row r="92" ht="15.75" customHeight="1">
      <c r="A92" s="1" t="s">
        <v>505</v>
      </c>
      <c r="B92" s="1" t="s">
        <v>506</v>
      </c>
      <c r="C92" s="1" t="s">
        <v>261</v>
      </c>
      <c r="D92" s="1" t="s">
        <v>507</v>
      </c>
    </row>
    <row r="93" ht="15.75" customHeight="1">
      <c r="A93" s="1" t="s">
        <v>508</v>
      </c>
      <c r="B93" s="1" t="s">
        <v>509</v>
      </c>
      <c r="C93" s="1" t="s">
        <v>261</v>
      </c>
      <c r="D93" s="1" t="s">
        <v>510</v>
      </c>
    </row>
    <row r="94" ht="15.75" customHeight="1">
      <c r="A94" s="1" t="s">
        <v>511</v>
      </c>
      <c r="B94" s="1" t="s">
        <v>512</v>
      </c>
      <c r="C94" s="1" t="s">
        <v>261</v>
      </c>
      <c r="D94" s="1" t="s">
        <v>513</v>
      </c>
    </row>
    <row r="95" ht="15.75" customHeight="1">
      <c r="A95" s="1" t="s">
        <v>514</v>
      </c>
      <c r="B95" s="1" t="s">
        <v>515</v>
      </c>
      <c r="C95" s="1" t="s">
        <v>261</v>
      </c>
      <c r="D95" s="1" t="s">
        <v>516</v>
      </c>
    </row>
    <row r="96" ht="15.75" customHeight="1">
      <c r="A96" s="1" t="s">
        <v>517</v>
      </c>
      <c r="B96" s="1" t="s">
        <v>518</v>
      </c>
      <c r="C96" s="1" t="s">
        <v>261</v>
      </c>
      <c r="D96" s="1" t="s">
        <v>519</v>
      </c>
    </row>
    <row r="97" ht="15.75" customHeight="1">
      <c r="A97" s="1" t="s">
        <v>520</v>
      </c>
      <c r="B97" s="1" t="s">
        <v>521</v>
      </c>
      <c r="C97" s="1" t="s">
        <v>261</v>
      </c>
      <c r="D97" s="1" t="s">
        <v>522</v>
      </c>
    </row>
    <row r="98" ht="15.75" customHeight="1">
      <c r="A98" s="1" t="s">
        <v>523</v>
      </c>
      <c r="B98" s="1" t="s">
        <v>524</v>
      </c>
      <c r="C98" s="1" t="s">
        <v>261</v>
      </c>
      <c r="D98" s="1" t="s">
        <v>525</v>
      </c>
    </row>
    <row r="99" ht="15.75" customHeight="1">
      <c r="A99" s="1" t="s">
        <v>526</v>
      </c>
      <c r="B99" s="1" t="s">
        <v>527</v>
      </c>
      <c r="C99" s="1" t="s">
        <v>261</v>
      </c>
      <c r="D99" s="1" t="s">
        <v>528</v>
      </c>
    </row>
    <row r="100" ht="15.75" customHeight="1">
      <c r="A100" s="1" t="s">
        <v>529</v>
      </c>
      <c r="B100" s="1" t="s">
        <v>530</v>
      </c>
      <c r="C100" s="1" t="s">
        <v>261</v>
      </c>
      <c r="D100" s="1" t="s">
        <v>531</v>
      </c>
    </row>
    <row r="101" ht="15.75" customHeight="1">
      <c r="A101" s="1" t="s">
        <v>532</v>
      </c>
      <c r="B101" s="1" t="s">
        <v>533</v>
      </c>
      <c r="C101" s="1" t="s">
        <v>261</v>
      </c>
      <c r="D101" s="1" t="s">
        <v>534</v>
      </c>
    </row>
    <row r="102" ht="15.75" customHeight="1">
      <c r="A102" s="1" t="s">
        <v>535</v>
      </c>
      <c r="B102" s="1" t="s">
        <v>536</v>
      </c>
      <c r="C102" s="1" t="s">
        <v>261</v>
      </c>
      <c r="D102" s="1" t="s">
        <v>537</v>
      </c>
    </row>
    <row r="103" ht="15.75" customHeight="1">
      <c r="A103" s="1" t="s">
        <v>538</v>
      </c>
      <c r="B103" s="1" t="s">
        <v>539</v>
      </c>
      <c r="C103" s="1" t="s">
        <v>261</v>
      </c>
      <c r="D103" s="1" t="s">
        <v>540</v>
      </c>
    </row>
    <row r="104" ht="15.75" customHeight="1">
      <c r="A104" s="1" t="s">
        <v>541</v>
      </c>
      <c r="B104" s="1" t="s">
        <v>542</v>
      </c>
      <c r="C104" s="1" t="s">
        <v>261</v>
      </c>
      <c r="D104" s="1" t="s">
        <v>543</v>
      </c>
    </row>
    <row r="105" ht="15.75" customHeight="1">
      <c r="A105" s="1" t="s">
        <v>544</v>
      </c>
      <c r="B105" s="1" t="s">
        <v>545</v>
      </c>
      <c r="C105" s="1" t="s">
        <v>261</v>
      </c>
      <c r="D105" s="1" t="s">
        <v>546</v>
      </c>
    </row>
    <row r="106" ht="15.75" customHeight="1">
      <c r="A106" s="1" t="s">
        <v>547</v>
      </c>
      <c r="B106" s="1" t="s">
        <v>548</v>
      </c>
      <c r="C106" s="1" t="s">
        <v>261</v>
      </c>
      <c r="D106" s="1" t="s">
        <v>549</v>
      </c>
    </row>
    <row r="107" ht="15.75" customHeight="1">
      <c r="A107" s="1" t="s">
        <v>550</v>
      </c>
      <c r="B107" s="1" t="s">
        <v>551</v>
      </c>
      <c r="C107" s="1" t="s">
        <v>261</v>
      </c>
      <c r="D107" s="1" t="s">
        <v>552</v>
      </c>
    </row>
    <row r="108" ht="15.75" customHeight="1">
      <c r="A108" s="1" t="s">
        <v>553</v>
      </c>
      <c r="B108" s="1" t="s">
        <v>554</v>
      </c>
      <c r="C108" s="1" t="s">
        <v>261</v>
      </c>
      <c r="D108" s="1" t="s">
        <v>555</v>
      </c>
    </row>
    <row r="109" ht="15.75" customHeight="1">
      <c r="A109" s="1" t="s">
        <v>556</v>
      </c>
      <c r="B109" s="1" t="s">
        <v>557</v>
      </c>
      <c r="C109" s="1" t="s">
        <v>261</v>
      </c>
      <c r="D109" s="1" t="s">
        <v>558</v>
      </c>
    </row>
    <row r="110" ht="15.75" customHeight="1">
      <c r="A110" s="1" t="s">
        <v>559</v>
      </c>
      <c r="B110" s="1" t="s">
        <v>560</v>
      </c>
      <c r="C110" s="1" t="s">
        <v>261</v>
      </c>
      <c r="D110" s="1" t="s">
        <v>561</v>
      </c>
    </row>
    <row r="111" ht="15.75" customHeight="1">
      <c r="A111" s="1" t="s">
        <v>562</v>
      </c>
      <c r="B111" s="1" t="s">
        <v>563</v>
      </c>
      <c r="C111" s="1" t="s">
        <v>261</v>
      </c>
      <c r="D111" s="1" t="s">
        <v>564</v>
      </c>
    </row>
    <row r="112" ht="15.75" customHeight="1">
      <c r="A112" s="1" t="s">
        <v>565</v>
      </c>
      <c r="B112" s="1" t="s">
        <v>566</v>
      </c>
      <c r="C112" s="1" t="s">
        <v>261</v>
      </c>
      <c r="D112" s="1" t="s">
        <v>567</v>
      </c>
    </row>
    <row r="113" ht="15.75" customHeight="1">
      <c r="A113" s="1" t="s">
        <v>568</v>
      </c>
      <c r="B113" s="1" t="s">
        <v>569</v>
      </c>
      <c r="C113" s="1" t="s">
        <v>261</v>
      </c>
      <c r="D113" s="1" t="s">
        <v>570</v>
      </c>
    </row>
    <row r="114" ht="15.75" customHeight="1">
      <c r="A114" s="1" t="s">
        <v>571</v>
      </c>
      <c r="B114" s="1" t="s">
        <v>572</v>
      </c>
      <c r="C114" s="1" t="s">
        <v>261</v>
      </c>
      <c r="D114" s="1" t="s">
        <v>573</v>
      </c>
    </row>
    <row r="115" ht="15.75" customHeight="1">
      <c r="A115" s="1" t="s">
        <v>574</v>
      </c>
      <c r="B115" s="1" t="s">
        <v>575</v>
      </c>
      <c r="C115" s="1" t="s">
        <v>261</v>
      </c>
      <c r="D115" s="1" t="s">
        <v>576</v>
      </c>
    </row>
    <row r="116" ht="15.75" customHeight="1">
      <c r="A116" s="1" t="s">
        <v>577</v>
      </c>
      <c r="B116" s="1" t="s">
        <v>578</v>
      </c>
      <c r="C116" s="1" t="s">
        <v>261</v>
      </c>
      <c r="D116" s="1" t="s">
        <v>579</v>
      </c>
    </row>
    <row r="117" ht="15.75" customHeight="1">
      <c r="A117" s="1" t="s">
        <v>580</v>
      </c>
      <c r="B117" s="1" t="s">
        <v>581</v>
      </c>
      <c r="C117" s="1" t="s">
        <v>261</v>
      </c>
      <c r="D117" s="1" t="s">
        <v>582</v>
      </c>
    </row>
    <row r="118" ht="15.75" customHeight="1">
      <c r="A118" s="1" t="s">
        <v>583</v>
      </c>
      <c r="B118" s="1" t="s">
        <v>584</v>
      </c>
      <c r="C118" s="1" t="s">
        <v>261</v>
      </c>
      <c r="D118" s="1" t="s">
        <v>585</v>
      </c>
    </row>
    <row r="119" ht="15.75" customHeight="1">
      <c r="A119" s="1" t="s">
        <v>586</v>
      </c>
      <c r="B119" s="1" t="s">
        <v>587</v>
      </c>
      <c r="C119" s="1" t="s">
        <v>261</v>
      </c>
      <c r="D119" s="1" t="s">
        <v>588</v>
      </c>
    </row>
    <row r="120" ht="15.75" customHeight="1">
      <c r="A120" s="1" t="s">
        <v>589</v>
      </c>
      <c r="B120" s="1" t="s">
        <v>590</v>
      </c>
      <c r="C120" s="1" t="s">
        <v>261</v>
      </c>
      <c r="D120" s="1" t="s">
        <v>591</v>
      </c>
    </row>
    <row r="121" ht="15.75" customHeight="1">
      <c r="A121" s="1" t="s">
        <v>592</v>
      </c>
      <c r="B121" s="1" t="s">
        <v>593</v>
      </c>
      <c r="C121" s="1" t="s">
        <v>261</v>
      </c>
      <c r="D121" s="1" t="s">
        <v>594</v>
      </c>
    </row>
    <row r="122" ht="15.75" customHeight="1">
      <c r="A122" s="1" t="s">
        <v>595</v>
      </c>
      <c r="B122" s="1" t="s">
        <v>596</v>
      </c>
      <c r="C122" s="1" t="s">
        <v>261</v>
      </c>
      <c r="D122" s="1" t="s">
        <v>597</v>
      </c>
    </row>
    <row r="123" ht="15.75" customHeight="1">
      <c r="A123" s="1" t="s">
        <v>598</v>
      </c>
      <c r="B123" s="1" t="s">
        <v>599</v>
      </c>
      <c r="C123" s="1" t="s">
        <v>261</v>
      </c>
      <c r="D123" s="1" t="s">
        <v>600</v>
      </c>
    </row>
    <row r="124" ht="15.75" customHeight="1">
      <c r="A124" s="1" t="s">
        <v>601</v>
      </c>
      <c r="B124" s="1" t="s">
        <v>602</v>
      </c>
      <c r="C124" s="1" t="s">
        <v>261</v>
      </c>
      <c r="D124" s="1" t="s">
        <v>603</v>
      </c>
    </row>
    <row r="125" ht="15.75" customHeight="1">
      <c r="A125" s="1" t="s">
        <v>604</v>
      </c>
      <c r="B125" s="1" t="s">
        <v>605</v>
      </c>
      <c r="C125" s="1" t="s">
        <v>261</v>
      </c>
      <c r="D125" s="1" t="s">
        <v>606</v>
      </c>
    </row>
    <row r="126" ht="15.75" customHeight="1">
      <c r="A126" s="1" t="s">
        <v>607</v>
      </c>
      <c r="B126" s="1" t="s">
        <v>608</v>
      </c>
      <c r="C126" s="1" t="s">
        <v>261</v>
      </c>
      <c r="D126" s="1" t="s">
        <v>609</v>
      </c>
    </row>
    <row r="127" ht="15.75" customHeight="1">
      <c r="A127" s="1" t="s">
        <v>610</v>
      </c>
      <c r="B127" s="1" t="s">
        <v>611</v>
      </c>
      <c r="C127" s="1" t="s">
        <v>261</v>
      </c>
      <c r="D127" s="1" t="s">
        <v>612</v>
      </c>
    </row>
    <row r="128" ht="15.75" customHeight="1">
      <c r="A128" s="1" t="s">
        <v>613</v>
      </c>
      <c r="B128" s="1" t="s">
        <v>614</v>
      </c>
      <c r="C128" s="1" t="s">
        <v>261</v>
      </c>
      <c r="D128" s="1" t="s">
        <v>615</v>
      </c>
    </row>
    <row r="129" ht="15.75" customHeight="1">
      <c r="A129" s="1" t="s">
        <v>616</v>
      </c>
      <c r="B129" s="1" t="s">
        <v>617</v>
      </c>
      <c r="C129" s="1" t="s">
        <v>261</v>
      </c>
      <c r="D129" s="1" t="s">
        <v>618</v>
      </c>
    </row>
    <row r="130" ht="15.75" customHeight="1">
      <c r="A130" s="1" t="s">
        <v>619</v>
      </c>
      <c r="B130" s="1" t="s">
        <v>620</v>
      </c>
      <c r="C130" s="1" t="s">
        <v>261</v>
      </c>
      <c r="D130" s="1" t="s">
        <v>621</v>
      </c>
    </row>
    <row r="131" ht="15.75" customHeight="1">
      <c r="A131" s="1" t="s">
        <v>622</v>
      </c>
      <c r="B131" s="1" t="s">
        <v>623</v>
      </c>
      <c r="C131" s="1" t="s">
        <v>261</v>
      </c>
      <c r="D131" s="1" t="s">
        <v>624</v>
      </c>
    </row>
    <row r="132" ht="15.75" customHeight="1">
      <c r="A132" s="1" t="s">
        <v>625</v>
      </c>
      <c r="B132" s="1" t="s">
        <v>626</v>
      </c>
      <c r="C132" s="1" t="s">
        <v>261</v>
      </c>
      <c r="D132" s="1" t="s">
        <v>627</v>
      </c>
    </row>
    <row r="133" ht="15.75" customHeight="1">
      <c r="A133" s="1" t="s">
        <v>628</v>
      </c>
      <c r="B133" s="1" t="s">
        <v>629</v>
      </c>
      <c r="C133" s="1" t="s">
        <v>261</v>
      </c>
      <c r="D133" s="1" t="s">
        <v>630</v>
      </c>
    </row>
    <row r="134" ht="15.75" customHeight="1">
      <c r="A134" s="1" t="s">
        <v>631</v>
      </c>
      <c r="B134" s="1" t="s">
        <v>632</v>
      </c>
      <c r="C134" s="1" t="s">
        <v>261</v>
      </c>
      <c r="D134" s="1" t="s">
        <v>633</v>
      </c>
    </row>
    <row r="135" ht="15.75" customHeight="1">
      <c r="A135" s="1" t="s">
        <v>634</v>
      </c>
      <c r="B135" s="1" t="s">
        <v>635</v>
      </c>
      <c r="C135" s="1" t="s">
        <v>261</v>
      </c>
      <c r="D135" s="1" t="s">
        <v>636</v>
      </c>
    </row>
    <row r="136" ht="15.75" customHeight="1">
      <c r="A136" s="1" t="s">
        <v>637</v>
      </c>
      <c r="B136" s="1" t="s">
        <v>638</v>
      </c>
      <c r="C136" s="1" t="s">
        <v>261</v>
      </c>
      <c r="D136" s="1" t="s">
        <v>639</v>
      </c>
    </row>
    <row r="137" ht="15.75" customHeight="1">
      <c r="A137" s="1" t="s">
        <v>640</v>
      </c>
      <c r="B137" s="1" t="s">
        <v>641</v>
      </c>
      <c r="C137" s="1" t="s">
        <v>261</v>
      </c>
      <c r="D137" s="1" t="s">
        <v>642</v>
      </c>
    </row>
    <row r="138" ht="15.75" customHeight="1">
      <c r="A138" s="1" t="s">
        <v>643</v>
      </c>
      <c r="B138" s="1" t="s">
        <v>644</v>
      </c>
      <c r="C138" s="1" t="s">
        <v>261</v>
      </c>
      <c r="D138" s="1" t="s">
        <v>645</v>
      </c>
    </row>
    <row r="139" ht="15.75" customHeight="1">
      <c r="A139" s="1" t="s">
        <v>646</v>
      </c>
      <c r="B139" s="1" t="s">
        <v>647</v>
      </c>
      <c r="C139" s="1" t="s">
        <v>261</v>
      </c>
      <c r="D139" s="1" t="s">
        <v>648</v>
      </c>
    </row>
    <row r="140" ht="15.75" customHeight="1">
      <c r="A140" s="1" t="s">
        <v>649</v>
      </c>
      <c r="B140" s="1" t="s">
        <v>650</v>
      </c>
      <c r="C140" s="1" t="s">
        <v>261</v>
      </c>
      <c r="D140" s="1" t="s">
        <v>651</v>
      </c>
    </row>
    <row r="141" ht="15.75" customHeight="1">
      <c r="A141" s="1" t="s">
        <v>652</v>
      </c>
      <c r="B141" s="1" t="s">
        <v>653</v>
      </c>
      <c r="C141" s="1" t="s">
        <v>261</v>
      </c>
      <c r="D141" s="1" t="s">
        <v>654</v>
      </c>
    </row>
    <row r="142" ht="15.75" customHeight="1">
      <c r="A142" s="1" t="s">
        <v>655</v>
      </c>
      <c r="B142" s="1" t="s">
        <v>656</v>
      </c>
      <c r="C142" s="1" t="s">
        <v>261</v>
      </c>
      <c r="D142" s="1" t="s">
        <v>657</v>
      </c>
    </row>
    <row r="143" ht="15.75" customHeight="1">
      <c r="A143" s="1" t="s">
        <v>658</v>
      </c>
      <c r="B143" s="1" t="s">
        <v>659</v>
      </c>
      <c r="C143" s="1" t="s">
        <v>261</v>
      </c>
      <c r="D143" s="1" t="s">
        <v>660</v>
      </c>
    </row>
    <row r="144" ht="15.75" customHeight="1">
      <c r="A144" s="1" t="s">
        <v>661</v>
      </c>
      <c r="B144" s="1" t="s">
        <v>662</v>
      </c>
      <c r="C144" s="1" t="s">
        <v>261</v>
      </c>
      <c r="D144" s="1" t="s">
        <v>663</v>
      </c>
    </row>
    <row r="145" ht="15.75" customHeight="1">
      <c r="A145" s="1" t="s">
        <v>664</v>
      </c>
      <c r="B145" s="1" t="s">
        <v>665</v>
      </c>
      <c r="C145" s="1" t="s">
        <v>261</v>
      </c>
      <c r="D145" s="1" t="s">
        <v>666</v>
      </c>
    </row>
    <row r="146" ht="15.75" customHeight="1">
      <c r="A146" s="1" t="s">
        <v>667</v>
      </c>
      <c r="B146" s="1" t="s">
        <v>668</v>
      </c>
      <c r="C146" s="1" t="s">
        <v>261</v>
      </c>
      <c r="D146" s="1" t="s">
        <v>669</v>
      </c>
    </row>
    <row r="147" ht="15.75" customHeight="1">
      <c r="A147" s="1" t="s">
        <v>670</v>
      </c>
      <c r="B147" s="1" t="s">
        <v>671</v>
      </c>
      <c r="C147" s="1" t="s">
        <v>261</v>
      </c>
      <c r="D147" s="1" t="s">
        <v>672</v>
      </c>
    </row>
    <row r="148" ht="15.75" customHeight="1">
      <c r="A148" s="1" t="s">
        <v>673</v>
      </c>
      <c r="B148" s="1" t="s">
        <v>674</v>
      </c>
      <c r="C148" s="1" t="s">
        <v>261</v>
      </c>
      <c r="D148" s="1" t="s">
        <v>675</v>
      </c>
    </row>
    <row r="149" ht="15.75" customHeight="1">
      <c r="A149" s="1" t="s">
        <v>676</v>
      </c>
      <c r="B149" s="1" t="s">
        <v>677</v>
      </c>
      <c r="C149" s="1" t="s">
        <v>261</v>
      </c>
      <c r="D149" s="1" t="s">
        <v>678</v>
      </c>
    </row>
    <row r="150" ht="15.75" customHeight="1">
      <c r="A150" s="1" t="s">
        <v>679</v>
      </c>
      <c r="B150" s="1" t="s">
        <v>680</v>
      </c>
      <c r="C150" s="1" t="s">
        <v>261</v>
      </c>
      <c r="D150" s="1" t="s">
        <v>681</v>
      </c>
    </row>
    <row r="151" ht="15.75" customHeight="1">
      <c r="A151" s="1" t="s">
        <v>682</v>
      </c>
      <c r="B151" s="1" t="s">
        <v>683</v>
      </c>
      <c r="C151" s="1" t="s">
        <v>261</v>
      </c>
      <c r="D151" s="1" t="s">
        <v>684</v>
      </c>
    </row>
    <row r="152" ht="15.75" customHeight="1">
      <c r="A152" s="1" t="s">
        <v>685</v>
      </c>
      <c r="B152" s="1" t="s">
        <v>686</v>
      </c>
      <c r="C152" s="1" t="s">
        <v>261</v>
      </c>
      <c r="D152" s="1" t="s">
        <v>687</v>
      </c>
    </row>
    <row r="153" ht="15.75" customHeight="1">
      <c r="A153" s="1" t="s">
        <v>688</v>
      </c>
      <c r="B153" s="1" t="s">
        <v>689</v>
      </c>
      <c r="C153" s="1" t="s">
        <v>261</v>
      </c>
      <c r="D153" s="1" t="s">
        <v>690</v>
      </c>
    </row>
    <row r="154" ht="15.75" customHeight="1">
      <c r="A154" s="1" t="s">
        <v>691</v>
      </c>
      <c r="B154" s="1" t="s">
        <v>692</v>
      </c>
      <c r="C154" s="1" t="s">
        <v>261</v>
      </c>
      <c r="D154" s="1" t="s">
        <v>693</v>
      </c>
    </row>
    <row r="155" ht="15.75" customHeight="1">
      <c r="A155" s="1" t="s">
        <v>694</v>
      </c>
      <c r="B155" s="1" t="s">
        <v>695</v>
      </c>
      <c r="C155" s="1" t="s">
        <v>261</v>
      </c>
      <c r="D155" s="1" t="s">
        <v>696</v>
      </c>
    </row>
    <row r="156" ht="15.75" customHeight="1">
      <c r="A156" s="1" t="s">
        <v>697</v>
      </c>
      <c r="B156" s="1" t="s">
        <v>698</v>
      </c>
      <c r="C156" s="1" t="s">
        <v>261</v>
      </c>
      <c r="D156" s="1" t="s">
        <v>699</v>
      </c>
    </row>
    <row r="157" ht="15.75" customHeight="1">
      <c r="A157" s="1" t="s">
        <v>700</v>
      </c>
      <c r="B157" s="1" t="s">
        <v>701</v>
      </c>
      <c r="C157" s="1" t="s">
        <v>261</v>
      </c>
      <c r="D157" s="1" t="s">
        <v>702</v>
      </c>
    </row>
    <row r="158" ht="15.75" customHeight="1">
      <c r="A158" s="1" t="s">
        <v>703</v>
      </c>
      <c r="B158" s="1" t="s">
        <v>704</v>
      </c>
      <c r="C158" s="1" t="s">
        <v>261</v>
      </c>
      <c r="D158" s="1" t="s">
        <v>705</v>
      </c>
    </row>
    <row r="159" ht="15.75" customHeight="1">
      <c r="A159" s="1" t="s">
        <v>706</v>
      </c>
      <c r="B159" s="1" t="s">
        <v>707</v>
      </c>
      <c r="C159" s="1" t="s">
        <v>261</v>
      </c>
      <c r="D159" s="1" t="s">
        <v>708</v>
      </c>
    </row>
    <row r="160" ht="15.75" customHeight="1">
      <c r="A160" s="1" t="s">
        <v>709</v>
      </c>
      <c r="B160" s="1" t="s">
        <v>710</v>
      </c>
      <c r="C160" s="1" t="s">
        <v>261</v>
      </c>
      <c r="D160" s="1" t="s">
        <v>711</v>
      </c>
    </row>
    <row r="161" ht="15.75" customHeight="1">
      <c r="A161" s="1" t="s">
        <v>712</v>
      </c>
      <c r="B161" s="1" t="s">
        <v>713</v>
      </c>
      <c r="C161" s="1" t="s">
        <v>261</v>
      </c>
      <c r="D161" s="1" t="s">
        <v>714</v>
      </c>
    </row>
    <row r="162" ht="15.75" customHeight="1">
      <c r="A162" s="1" t="s">
        <v>715</v>
      </c>
      <c r="B162" s="1" t="s">
        <v>716</v>
      </c>
      <c r="C162" s="1" t="s">
        <v>261</v>
      </c>
      <c r="D162" s="1" t="s">
        <v>717</v>
      </c>
    </row>
    <row r="163" ht="15.75" customHeight="1">
      <c r="A163" s="1" t="s">
        <v>718</v>
      </c>
      <c r="B163" s="1" t="s">
        <v>719</v>
      </c>
      <c r="C163" s="1" t="s">
        <v>261</v>
      </c>
      <c r="D163" s="1" t="s">
        <v>720</v>
      </c>
    </row>
    <row r="164" ht="15.75" customHeight="1">
      <c r="A164" s="1" t="s">
        <v>721</v>
      </c>
      <c r="B164" s="1" t="s">
        <v>722</v>
      </c>
      <c r="C164" s="1" t="s">
        <v>261</v>
      </c>
      <c r="D164" s="1" t="s">
        <v>723</v>
      </c>
    </row>
    <row r="165" ht="15.75" customHeight="1">
      <c r="A165" s="1" t="s">
        <v>724</v>
      </c>
      <c r="B165" s="1" t="s">
        <v>725</v>
      </c>
      <c r="C165" s="1" t="s">
        <v>261</v>
      </c>
      <c r="D165" s="1" t="s">
        <v>726</v>
      </c>
    </row>
    <row r="166" ht="15.75" customHeight="1">
      <c r="A166" s="1" t="s">
        <v>727</v>
      </c>
      <c r="B166" s="1" t="s">
        <v>728</v>
      </c>
      <c r="C166" s="1" t="s">
        <v>261</v>
      </c>
      <c r="D166" s="1" t="s">
        <v>729</v>
      </c>
    </row>
    <row r="167" ht="15.75" customHeight="1">
      <c r="A167" s="1" t="s">
        <v>730</v>
      </c>
      <c r="B167" s="1" t="s">
        <v>731</v>
      </c>
      <c r="C167" s="1" t="s">
        <v>261</v>
      </c>
      <c r="D167" s="1" t="s">
        <v>732</v>
      </c>
    </row>
    <row r="168" ht="15.75" customHeight="1">
      <c r="A168" s="1" t="s">
        <v>733</v>
      </c>
      <c r="B168" s="1" t="s">
        <v>734</v>
      </c>
      <c r="C168" s="1" t="s">
        <v>261</v>
      </c>
      <c r="D168" s="1" t="s">
        <v>735</v>
      </c>
    </row>
    <row r="169" ht="15.75" customHeight="1">
      <c r="A169" s="1" t="s">
        <v>736</v>
      </c>
      <c r="B169" s="1" t="s">
        <v>737</v>
      </c>
      <c r="C169" s="1" t="s">
        <v>261</v>
      </c>
      <c r="D169" s="1" t="s">
        <v>738</v>
      </c>
    </row>
    <row r="170" ht="15.75" customHeight="1">
      <c r="A170" s="1" t="s">
        <v>739</v>
      </c>
      <c r="B170" s="1" t="s">
        <v>740</v>
      </c>
      <c r="C170" s="1" t="s">
        <v>261</v>
      </c>
      <c r="D170" s="1" t="s">
        <v>741</v>
      </c>
    </row>
    <row r="171" ht="15.75" customHeight="1">
      <c r="A171" s="1" t="s">
        <v>742</v>
      </c>
      <c r="B171" s="1" t="s">
        <v>743</v>
      </c>
      <c r="C171" s="1" t="s">
        <v>261</v>
      </c>
      <c r="D171" s="1" t="s">
        <v>744</v>
      </c>
    </row>
    <row r="172" ht="15.75" customHeight="1">
      <c r="A172" s="1" t="s">
        <v>745</v>
      </c>
      <c r="B172" s="1" t="s">
        <v>746</v>
      </c>
      <c r="C172" s="1" t="s">
        <v>261</v>
      </c>
      <c r="D172" s="1" t="s">
        <v>747</v>
      </c>
    </row>
    <row r="173" ht="15.75" customHeight="1">
      <c r="A173" s="1" t="s">
        <v>748</v>
      </c>
      <c r="B173" s="1" t="s">
        <v>749</v>
      </c>
      <c r="C173" s="1" t="s">
        <v>261</v>
      </c>
      <c r="D173" s="1" t="s">
        <v>750</v>
      </c>
    </row>
    <row r="174" ht="15.75" customHeight="1">
      <c r="A174" s="1" t="s">
        <v>751</v>
      </c>
      <c r="B174" s="1" t="s">
        <v>752</v>
      </c>
      <c r="C174" s="1" t="s">
        <v>261</v>
      </c>
      <c r="D174" s="1" t="s">
        <v>753</v>
      </c>
    </row>
    <row r="175" ht="15.75" customHeight="1">
      <c r="A175" s="1" t="s">
        <v>754</v>
      </c>
      <c r="B175" s="1" t="s">
        <v>755</v>
      </c>
      <c r="C175" s="1" t="s">
        <v>261</v>
      </c>
      <c r="D175" s="1" t="s">
        <v>756</v>
      </c>
    </row>
    <row r="176" ht="15.75" customHeight="1">
      <c r="A176" s="1" t="s">
        <v>757</v>
      </c>
      <c r="B176" s="1" t="s">
        <v>758</v>
      </c>
      <c r="C176" s="1" t="s">
        <v>261</v>
      </c>
      <c r="D176" s="1" t="s">
        <v>759</v>
      </c>
    </row>
    <row r="177" ht="15.75" customHeight="1">
      <c r="A177" s="1" t="s">
        <v>760</v>
      </c>
      <c r="B177" s="1" t="s">
        <v>761</v>
      </c>
      <c r="C177" s="1" t="s">
        <v>261</v>
      </c>
      <c r="D177" s="1" t="s">
        <v>762</v>
      </c>
    </row>
    <row r="178" ht="15.75" customHeight="1">
      <c r="A178" s="1" t="s">
        <v>763</v>
      </c>
      <c r="B178" s="1" t="s">
        <v>764</v>
      </c>
      <c r="C178" s="1" t="s">
        <v>261</v>
      </c>
      <c r="D178" s="1" t="s">
        <v>765</v>
      </c>
    </row>
    <row r="179" ht="15.75" customHeight="1">
      <c r="A179" s="1" t="s">
        <v>766</v>
      </c>
      <c r="B179" s="1" t="s">
        <v>767</v>
      </c>
      <c r="C179" s="1" t="s">
        <v>261</v>
      </c>
      <c r="D179" s="1" t="s">
        <v>768</v>
      </c>
    </row>
    <row r="180" ht="15.75" customHeight="1">
      <c r="A180" s="1" t="s">
        <v>769</v>
      </c>
      <c r="B180" s="1" t="s">
        <v>770</v>
      </c>
      <c r="C180" s="1" t="s">
        <v>261</v>
      </c>
      <c r="D180" s="1" t="s">
        <v>771</v>
      </c>
    </row>
    <row r="181" ht="15.75" customHeight="1">
      <c r="A181" s="1" t="s">
        <v>772</v>
      </c>
      <c r="B181" s="1" t="s">
        <v>773</v>
      </c>
      <c r="C181" s="1" t="s">
        <v>261</v>
      </c>
      <c r="D181" s="1" t="s">
        <v>774</v>
      </c>
    </row>
    <row r="182" ht="15.75" customHeight="1">
      <c r="A182" s="1" t="s">
        <v>775</v>
      </c>
      <c r="B182" s="1" t="s">
        <v>776</v>
      </c>
      <c r="C182" s="1" t="s">
        <v>261</v>
      </c>
      <c r="D182" s="1" t="s">
        <v>777</v>
      </c>
    </row>
    <row r="183" ht="15.75" customHeight="1">
      <c r="A183" s="1" t="s">
        <v>778</v>
      </c>
      <c r="B183" s="1" t="s">
        <v>779</v>
      </c>
      <c r="C183" s="1" t="s">
        <v>261</v>
      </c>
      <c r="D183" s="1" t="s">
        <v>780</v>
      </c>
    </row>
    <row r="184" ht="15.75" customHeight="1">
      <c r="A184" s="1" t="s">
        <v>781</v>
      </c>
      <c r="B184" s="1" t="s">
        <v>782</v>
      </c>
      <c r="C184" s="1" t="s">
        <v>261</v>
      </c>
      <c r="D184" s="1" t="s">
        <v>783</v>
      </c>
    </row>
    <row r="185" ht="15.75" customHeight="1">
      <c r="A185" s="1" t="s">
        <v>784</v>
      </c>
      <c r="B185" s="1" t="s">
        <v>785</v>
      </c>
      <c r="C185" s="1" t="s">
        <v>261</v>
      </c>
      <c r="D185" s="1" t="s">
        <v>786</v>
      </c>
    </row>
    <row r="186" ht="15.75" customHeight="1">
      <c r="A186" s="1" t="s">
        <v>787</v>
      </c>
      <c r="B186" s="1" t="s">
        <v>788</v>
      </c>
      <c r="C186" s="1" t="s">
        <v>261</v>
      </c>
      <c r="D186" s="1" t="s">
        <v>789</v>
      </c>
    </row>
    <row r="187" ht="15.75" customHeight="1">
      <c r="A187" s="1" t="s">
        <v>790</v>
      </c>
      <c r="B187" s="1" t="s">
        <v>791</v>
      </c>
      <c r="C187" s="1" t="s">
        <v>261</v>
      </c>
      <c r="D187" s="1" t="s">
        <v>792</v>
      </c>
    </row>
    <row r="188" ht="15.75" customHeight="1">
      <c r="A188" s="1" t="s">
        <v>793</v>
      </c>
      <c r="B188" s="1" t="s">
        <v>794</v>
      </c>
      <c r="C188" s="1" t="s">
        <v>261</v>
      </c>
      <c r="D188" s="1" t="s">
        <v>795</v>
      </c>
    </row>
    <row r="189" ht="15.75" customHeight="1">
      <c r="A189" s="1" t="s">
        <v>796</v>
      </c>
      <c r="B189" s="1" t="s">
        <v>797</v>
      </c>
      <c r="C189" s="1" t="s">
        <v>261</v>
      </c>
      <c r="D189" s="1" t="s">
        <v>798</v>
      </c>
    </row>
    <row r="190" ht="15.75" customHeight="1">
      <c r="A190" s="1" t="s">
        <v>799</v>
      </c>
      <c r="B190" s="1" t="s">
        <v>800</v>
      </c>
      <c r="C190" s="1" t="s">
        <v>261</v>
      </c>
      <c r="D190" s="1" t="s">
        <v>801</v>
      </c>
    </row>
    <row r="191" ht="15.75" customHeight="1">
      <c r="A191" s="1" t="s">
        <v>802</v>
      </c>
      <c r="B191" s="1" t="s">
        <v>803</v>
      </c>
      <c r="C191" s="1" t="s">
        <v>261</v>
      </c>
      <c r="D191" s="1" t="s">
        <v>804</v>
      </c>
    </row>
    <row r="192" ht="15.75" customHeight="1">
      <c r="A192" s="1" t="s">
        <v>805</v>
      </c>
      <c r="B192" s="1" t="s">
        <v>806</v>
      </c>
      <c r="C192" s="1" t="s">
        <v>261</v>
      </c>
      <c r="D192" s="1" t="s">
        <v>807</v>
      </c>
    </row>
    <row r="193" ht="15.75" customHeight="1">
      <c r="A193" s="1" t="s">
        <v>808</v>
      </c>
      <c r="B193" s="1" t="s">
        <v>809</v>
      </c>
      <c r="C193" s="1" t="s">
        <v>261</v>
      </c>
      <c r="D193" s="1" t="s">
        <v>810</v>
      </c>
    </row>
    <row r="194" ht="15.75" customHeight="1">
      <c r="A194" s="1" t="s">
        <v>811</v>
      </c>
      <c r="B194" s="1" t="s">
        <v>812</v>
      </c>
      <c r="C194" s="1" t="s">
        <v>261</v>
      </c>
      <c r="D194" s="1" t="s">
        <v>813</v>
      </c>
    </row>
    <row r="195" ht="15.75" customHeight="1">
      <c r="A195" s="1" t="s">
        <v>814</v>
      </c>
      <c r="B195" s="1" t="s">
        <v>815</v>
      </c>
      <c r="C195" s="1" t="s">
        <v>261</v>
      </c>
      <c r="D195" s="1" t="s">
        <v>816</v>
      </c>
    </row>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246</v>
      </c>
      <c r="B1" s="1" t="s">
        <v>247</v>
      </c>
      <c r="C1" s="1" t="s">
        <v>248</v>
      </c>
      <c r="D1" s="1" t="s">
        <v>249</v>
      </c>
    </row>
    <row r="2">
      <c r="A2" s="1" t="s">
        <v>781</v>
      </c>
      <c r="B2" s="1" t="s">
        <v>817</v>
      </c>
      <c r="C2" s="1" t="s">
        <v>261</v>
      </c>
      <c r="D2" s="1" t="s">
        <v>783</v>
      </c>
    </row>
    <row r="3">
      <c r="A3" s="1" t="s">
        <v>818</v>
      </c>
      <c r="B3" s="1" t="s">
        <v>819</v>
      </c>
      <c r="C3" s="1" t="s">
        <v>261</v>
      </c>
      <c r="D3" s="1" t="s">
        <v>820</v>
      </c>
    </row>
    <row r="4">
      <c r="A4" s="1" t="s">
        <v>821</v>
      </c>
      <c r="B4" s="1" t="s">
        <v>822</v>
      </c>
      <c r="C4" s="1" t="s">
        <v>261</v>
      </c>
      <c r="D4" s="1" t="s">
        <v>823</v>
      </c>
    </row>
    <row r="5">
      <c r="A5" s="1" t="s">
        <v>824</v>
      </c>
      <c r="B5" s="1" t="s">
        <v>825</v>
      </c>
      <c r="C5" s="1" t="s">
        <v>261</v>
      </c>
      <c r="D5" s="1" t="s">
        <v>826</v>
      </c>
    </row>
    <row r="6">
      <c r="A6" s="1" t="s">
        <v>827</v>
      </c>
      <c r="B6" s="1" t="s">
        <v>828</v>
      </c>
      <c r="C6" s="1" t="s">
        <v>261</v>
      </c>
      <c r="D6" s="1" t="s">
        <v>829</v>
      </c>
    </row>
    <row r="7">
      <c r="A7" s="1" t="s">
        <v>830</v>
      </c>
      <c r="B7" s="1" t="s">
        <v>831</v>
      </c>
      <c r="C7" s="1" t="s">
        <v>261</v>
      </c>
      <c r="D7" s="1" t="s">
        <v>832</v>
      </c>
    </row>
    <row r="8">
      <c r="A8" s="1" t="s">
        <v>833</v>
      </c>
      <c r="B8" s="1" t="s">
        <v>834</v>
      </c>
      <c r="C8" s="1" t="s">
        <v>261</v>
      </c>
      <c r="D8" s="1" t="s">
        <v>835</v>
      </c>
    </row>
    <row r="9">
      <c r="A9" s="1" t="s">
        <v>836</v>
      </c>
      <c r="B9" s="1" t="s">
        <v>837</v>
      </c>
      <c r="C9" s="1" t="s">
        <v>261</v>
      </c>
      <c r="D9" s="1" t="s">
        <v>838</v>
      </c>
    </row>
    <row r="10">
      <c r="A10" s="1" t="s">
        <v>839</v>
      </c>
      <c r="B10" s="1" t="s">
        <v>840</v>
      </c>
      <c r="C10" s="1" t="s">
        <v>261</v>
      </c>
      <c r="D10" s="1" t="s">
        <v>841</v>
      </c>
    </row>
    <row r="11">
      <c r="A11" s="1" t="s">
        <v>842</v>
      </c>
      <c r="B11" s="1" t="s">
        <v>843</v>
      </c>
      <c r="C11" s="1" t="s">
        <v>261</v>
      </c>
      <c r="D11" s="1" t="s">
        <v>844</v>
      </c>
    </row>
    <row r="12">
      <c r="A12" s="1" t="s">
        <v>845</v>
      </c>
      <c r="B12" s="1" t="s">
        <v>846</v>
      </c>
      <c r="C12" s="1" t="s">
        <v>261</v>
      </c>
      <c r="D12" s="1" t="s">
        <v>847</v>
      </c>
    </row>
    <row r="13">
      <c r="A13" s="1" t="s">
        <v>848</v>
      </c>
      <c r="B13" s="1" t="s">
        <v>849</v>
      </c>
      <c r="C13" s="1" t="s">
        <v>261</v>
      </c>
      <c r="D13" s="1" t="s">
        <v>850</v>
      </c>
    </row>
    <row r="14">
      <c r="A14" s="1" t="s">
        <v>851</v>
      </c>
      <c r="B14" s="1" t="s">
        <v>852</v>
      </c>
      <c r="C14" s="1" t="s">
        <v>261</v>
      </c>
      <c r="D14" s="1" t="s">
        <v>853</v>
      </c>
    </row>
    <row r="15">
      <c r="A15" s="1" t="s">
        <v>854</v>
      </c>
      <c r="B15" s="1" t="s">
        <v>855</v>
      </c>
      <c r="C15" s="1" t="s">
        <v>261</v>
      </c>
      <c r="D15" s="1" t="s">
        <v>856</v>
      </c>
    </row>
    <row r="16">
      <c r="A16" s="1" t="s">
        <v>857</v>
      </c>
      <c r="B16" s="1" t="s">
        <v>858</v>
      </c>
      <c r="C16" s="1" t="s">
        <v>261</v>
      </c>
      <c r="D16" s="1" t="s">
        <v>859</v>
      </c>
    </row>
    <row r="17">
      <c r="A17" s="1" t="s">
        <v>860</v>
      </c>
      <c r="B17" s="1" t="s">
        <v>861</v>
      </c>
      <c r="C17" s="1" t="s">
        <v>261</v>
      </c>
      <c r="D17" s="1" t="s">
        <v>862</v>
      </c>
    </row>
    <row r="18">
      <c r="A18" s="1" t="s">
        <v>863</v>
      </c>
      <c r="B18" s="1" t="s">
        <v>864</v>
      </c>
      <c r="C18" s="1" t="s">
        <v>261</v>
      </c>
      <c r="D18" s="1" t="s">
        <v>865</v>
      </c>
    </row>
    <row r="19">
      <c r="A19" s="1" t="s">
        <v>866</v>
      </c>
      <c r="B19" s="1" t="s">
        <v>867</v>
      </c>
      <c r="C19" s="1" t="s">
        <v>261</v>
      </c>
      <c r="D19" s="1" t="s">
        <v>868</v>
      </c>
    </row>
    <row r="20">
      <c r="A20" s="1" t="s">
        <v>869</v>
      </c>
      <c r="B20" s="1" t="s">
        <v>870</v>
      </c>
      <c r="C20" s="1" t="s">
        <v>261</v>
      </c>
      <c r="D20" s="1" t="s">
        <v>871</v>
      </c>
    </row>
    <row r="21" ht="15.75" customHeight="1">
      <c r="A21" s="1" t="s">
        <v>872</v>
      </c>
      <c r="B21" s="1" t="s">
        <v>873</v>
      </c>
      <c r="C21" s="1" t="s">
        <v>261</v>
      </c>
      <c r="D21" s="1" t="s">
        <v>874</v>
      </c>
    </row>
    <row r="22" ht="15.75" customHeight="1">
      <c r="A22" s="1" t="s">
        <v>875</v>
      </c>
      <c r="B22" s="1" t="s">
        <v>876</v>
      </c>
      <c r="C22" s="1" t="s">
        <v>261</v>
      </c>
      <c r="D22" s="1" t="s">
        <v>877</v>
      </c>
    </row>
    <row r="23" ht="15.75" customHeight="1">
      <c r="A23" s="1" t="s">
        <v>878</v>
      </c>
      <c r="B23" s="1" t="s">
        <v>879</v>
      </c>
      <c r="C23" s="1" t="s">
        <v>261</v>
      </c>
      <c r="D23" s="1" t="s">
        <v>880</v>
      </c>
    </row>
    <row r="24" ht="15.75" customHeight="1">
      <c r="A24" s="1" t="s">
        <v>881</v>
      </c>
      <c r="B24" s="1" t="s">
        <v>882</v>
      </c>
      <c r="C24" s="1" t="s">
        <v>261</v>
      </c>
      <c r="D24" s="1" t="s">
        <v>883</v>
      </c>
    </row>
    <row r="25" ht="15.75" customHeight="1">
      <c r="A25" s="1" t="s">
        <v>884</v>
      </c>
      <c r="B25" s="1" t="s">
        <v>885</v>
      </c>
      <c r="C25" s="1" t="s">
        <v>261</v>
      </c>
      <c r="D25" s="1" t="s">
        <v>886</v>
      </c>
    </row>
    <row r="26" ht="15.75" customHeight="1">
      <c r="A26" s="1" t="s">
        <v>887</v>
      </c>
      <c r="B26" s="1" t="s">
        <v>888</v>
      </c>
      <c r="C26" s="1" t="s">
        <v>261</v>
      </c>
      <c r="D26" s="1" t="s">
        <v>889</v>
      </c>
    </row>
    <row r="27" ht="15.75" customHeight="1">
      <c r="A27" s="1" t="s">
        <v>890</v>
      </c>
      <c r="B27" s="1" t="s">
        <v>891</v>
      </c>
      <c r="C27" s="1" t="s">
        <v>261</v>
      </c>
      <c r="D27" s="1" t="s">
        <v>892</v>
      </c>
    </row>
    <row r="28" ht="15.75" customHeight="1">
      <c r="A28" s="1" t="s">
        <v>893</v>
      </c>
      <c r="B28" s="1" t="s">
        <v>894</v>
      </c>
      <c r="C28" s="1" t="s">
        <v>261</v>
      </c>
      <c r="D28" s="1" t="s">
        <v>895</v>
      </c>
    </row>
    <row r="29" ht="15.75" customHeight="1">
      <c r="A29" s="1" t="s">
        <v>896</v>
      </c>
      <c r="B29" s="1" t="s">
        <v>897</v>
      </c>
      <c r="C29" s="1" t="s">
        <v>261</v>
      </c>
      <c r="D29" s="1" t="s">
        <v>898</v>
      </c>
    </row>
    <row r="30" ht="15.75" customHeight="1">
      <c r="A30" s="1" t="s">
        <v>899</v>
      </c>
      <c r="B30" s="1" t="s">
        <v>900</v>
      </c>
      <c r="C30" s="1" t="s">
        <v>261</v>
      </c>
      <c r="D30" s="1" t="s">
        <v>901</v>
      </c>
    </row>
    <row r="31" ht="15.75" customHeight="1">
      <c r="A31" s="1" t="s">
        <v>902</v>
      </c>
      <c r="B31" s="1" t="s">
        <v>903</v>
      </c>
      <c r="C31" s="1" t="s">
        <v>261</v>
      </c>
      <c r="D31" s="1" t="s">
        <v>904</v>
      </c>
    </row>
    <row r="32" ht="15.75" customHeight="1">
      <c r="A32" s="1" t="s">
        <v>905</v>
      </c>
      <c r="B32" s="1" t="s">
        <v>906</v>
      </c>
      <c r="C32" s="1" t="s">
        <v>261</v>
      </c>
      <c r="D32" s="1" t="s">
        <v>907</v>
      </c>
    </row>
    <row r="33" ht="15.75" customHeight="1">
      <c r="A33" s="1" t="s">
        <v>908</v>
      </c>
      <c r="B33" s="1" t="s">
        <v>909</v>
      </c>
      <c r="C33" s="1" t="s">
        <v>261</v>
      </c>
      <c r="D33" s="1" t="s">
        <v>910</v>
      </c>
    </row>
    <row r="34" ht="15.75" customHeight="1">
      <c r="A34" s="1" t="s">
        <v>911</v>
      </c>
      <c r="B34" s="1" t="s">
        <v>912</v>
      </c>
      <c r="C34" s="1" t="s">
        <v>261</v>
      </c>
      <c r="D34" s="1" t="s">
        <v>913</v>
      </c>
    </row>
    <row r="35" ht="15.75" customHeight="1">
      <c r="A35" s="1" t="s">
        <v>914</v>
      </c>
      <c r="B35" s="1" t="s">
        <v>915</v>
      </c>
      <c r="C35" s="1" t="s">
        <v>261</v>
      </c>
      <c r="D35" s="1" t="s">
        <v>916</v>
      </c>
    </row>
    <row r="36" ht="15.75" customHeight="1">
      <c r="A36" s="1" t="s">
        <v>917</v>
      </c>
      <c r="B36" s="1" t="s">
        <v>918</v>
      </c>
      <c r="C36" s="1" t="s">
        <v>261</v>
      </c>
      <c r="D36" s="1" t="s">
        <v>919</v>
      </c>
    </row>
    <row r="37" ht="15.75" customHeight="1">
      <c r="A37" s="1" t="s">
        <v>920</v>
      </c>
      <c r="B37" s="1" t="s">
        <v>921</v>
      </c>
      <c r="C37" s="1" t="s">
        <v>261</v>
      </c>
      <c r="D37" s="1" t="s">
        <v>922</v>
      </c>
    </row>
    <row r="38" ht="15.75" customHeight="1">
      <c r="A38" s="1" t="s">
        <v>923</v>
      </c>
      <c r="B38" s="1" t="s">
        <v>924</v>
      </c>
      <c r="C38" s="1" t="s">
        <v>261</v>
      </c>
      <c r="D38" s="1" t="s">
        <v>925</v>
      </c>
    </row>
    <row r="39" ht="15.75" customHeight="1">
      <c r="A39" s="1" t="s">
        <v>926</v>
      </c>
      <c r="B39" s="1" t="s">
        <v>927</v>
      </c>
      <c r="C39" s="1" t="s">
        <v>261</v>
      </c>
      <c r="D39" s="1" t="s">
        <v>928</v>
      </c>
    </row>
    <row r="40" ht="15.75" customHeight="1">
      <c r="A40" s="1" t="s">
        <v>929</v>
      </c>
      <c r="B40" s="1" t="s">
        <v>930</v>
      </c>
      <c r="C40" s="1" t="s">
        <v>261</v>
      </c>
      <c r="D40" s="1" t="s">
        <v>931</v>
      </c>
    </row>
    <row r="41" ht="15.75" customHeight="1">
      <c r="A41" s="1" t="s">
        <v>932</v>
      </c>
      <c r="B41" s="1" t="s">
        <v>933</v>
      </c>
      <c r="C41" s="1" t="s">
        <v>261</v>
      </c>
      <c r="D41" s="1" t="s">
        <v>934</v>
      </c>
    </row>
    <row r="42" ht="15.75" customHeight="1">
      <c r="A42" s="1" t="s">
        <v>935</v>
      </c>
      <c r="B42" s="1" t="s">
        <v>936</v>
      </c>
      <c r="C42" s="1" t="s">
        <v>261</v>
      </c>
      <c r="D42" s="1" t="s">
        <v>937</v>
      </c>
    </row>
    <row r="43" ht="15.75" customHeight="1">
      <c r="A43" s="1" t="s">
        <v>938</v>
      </c>
      <c r="B43" s="1" t="s">
        <v>939</v>
      </c>
      <c r="C43" s="1" t="s">
        <v>261</v>
      </c>
      <c r="D43" s="1" t="s">
        <v>940</v>
      </c>
    </row>
    <row r="44" ht="15.75" customHeight="1">
      <c r="A44" s="1" t="s">
        <v>941</v>
      </c>
      <c r="B44" s="1" t="s">
        <v>942</v>
      </c>
      <c r="C44" s="1" t="s">
        <v>261</v>
      </c>
      <c r="D44" s="1" t="s">
        <v>943</v>
      </c>
    </row>
    <row r="45" ht="15.75" customHeight="1">
      <c r="A45" s="1" t="s">
        <v>944</v>
      </c>
      <c r="B45" s="1" t="s">
        <v>945</v>
      </c>
      <c r="C45" s="1" t="s">
        <v>261</v>
      </c>
      <c r="D45" s="1" t="s">
        <v>946</v>
      </c>
    </row>
    <row r="46" ht="15.75" customHeight="1">
      <c r="A46" s="1" t="s">
        <v>947</v>
      </c>
      <c r="B46" s="1" t="s">
        <v>948</v>
      </c>
      <c r="C46" s="1" t="s">
        <v>261</v>
      </c>
      <c r="D46" s="1" t="s">
        <v>949</v>
      </c>
    </row>
    <row r="47" ht="15.75" customHeight="1">
      <c r="A47" s="1" t="s">
        <v>950</v>
      </c>
      <c r="B47" s="1" t="s">
        <v>951</v>
      </c>
      <c r="C47" s="1" t="s">
        <v>261</v>
      </c>
      <c r="D47" s="1" t="s">
        <v>952</v>
      </c>
    </row>
    <row r="48" ht="15.75" customHeight="1">
      <c r="A48" s="1" t="s">
        <v>953</v>
      </c>
      <c r="B48" s="1" t="s">
        <v>954</v>
      </c>
      <c r="C48" s="1" t="s">
        <v>261</v>
      </c>
      <c r="D48" s="1" t="s">
        <v>955</v>
      </c>
    </row>
    <row r="49" ht="15.75" customHeight="1">
      <c r="A49" s="1" t="s">
        <v>956</v>
      </c>
      <c r="B49" s="1" t="s">
        <v>957</v>
      </c>
      <c r="C49" s="1" t="s">
        <v>261</v>
      </c>
      <c r="D49" s="1" t="s">
        <v>958</v>
      </c>
    </row>
    <row r="50" ht="15.75" customHeight="1">
      <c r="A50" s="1" t="s">
        <v>959</v>
      </c>
      <c r="B50" s="1" t="s">
        <v>960</v>
      </c>
      <c r="C50" s="1" t="s">
        <v>261</v>
      </c>
      <c r="D50" s="1" t="s">
        <v>961</v>
      </c>
    </row>
    <row r="51" ht="15.75" customHeight="1">
      <c r="A51" s="1" t="s">
        <v>962</v>
      </c>
      <c r="B51" s="1" t="s">
        <v>963</v>
      </c>
      <c r="C51" s="1" t="s">
        <v>261</v>
      </c>
      <c r="D51" s="1" t="s">
        <v>964</v>
      </c>
    </row>
    <row r="52" ht="15.75" customHeight="1">
      <c r="A52" s="1" t="s">
        <v>965</v>
      </c>
      <c r="B52" s="1" t="s">
        <v>966</v>
      </c>
      <c r="C52" s="1" t="s">
        <v>261</v>
      </c>
      <c r="D52" s="1" t="s">
        <v>967</v>
      </c>
    </row>
    <row r="53" ht="15.75" customHeight="1">
      <c r="A53" s="1" t="s">
        <v>968</v>
      </c>
      <c r="B53" s="1" t="s">
        <v>969</v>
      </c>
      <c r="C53" s="1" t="s">
        <v>261</v>
      </c>
      <c r="D53" s="1" t="s">
        <v>970</v>
      </c>
    </row>
    <row r="54" ht="15.75" customHeight="1">
      <c r="A54" s="1" t="s">
        <v>971</v>
      </c>
      <c r="B54" s="1" t="s">
        <v>972</v>
      </c>
      <c r="C54" s="1" t="s">
        <v>261</v>
      </c>
      <c r="D54" s="1" t="s">
        <v>973</v>
      </c>
    </row>
    <row r="55" ht="15.75" customHeight="1">
      <c r="A55" s="1" t="s">
        <v>974</v>
      </c>
      <c r="B55" s="1" t="s">
        <v>975</v>
      </c>
      <c r="C55" s="1" t="s">
        <v>261</v>
      </c>
      <c r="D55" s="1" t="s">
        <v>976</v>
      </c>
    </row>
    <row r="56" ht="15.75" customHeight="1">
      <c r="A56" s="1" t="s">
        <v>977</v>
      </c>
      <c r="B56" s="1" t="s">
        <v>978</v>
      </c>
      <c r="C56" s="1" t="s">
        <v>261</v>
      </c>
      <c r="D56" s="1" t="s">
        <v>979</v>
      </c>
    </row>
    <row r="57" ht="15.75" customHeight="1">
      <c r="A57" s="1" t="s">
        <v>980</v>
      </c>
      <c r="B57" s="1" t="s">
        <v>981</v>
      </c>
      <c r="C57" s="1" t="s">
        <v>261</v>
      </c>
      <c r="D57" s="1" t="s">
        <v>982</v>
      </c>
    </row>
    <row r="58" ht="15.75" customHeight="1">
      <c r="A58" s="1" t="s">
        <v>983</v>
      </c>
      <c r="B58" s="1" t="s">
        <v>984</v>
      </c>
      <c r="C58" s="1" t="s">
        <v>261</v>
      </c>
      <c r="D58" s="1" t="s">
        <v>985</v>
      </c>
    </row>
    <row r="59" ht="15.75" customHeight="1">
      <c r="A59" s="1" t="s">
        <v>986</v>
      </c>
      <c r="B59" s="1" t="s">
        <v>987</v>
      </c>
      <c r="C59" s="1" t="s">
        <v>261</v>
      </c>
      <c r="D59" s="1" t="s">
        <v>988</v>
      </c>
    </row>
    <row r="60" ht="15.75" customHeight="1">
      <c r="A60" s="1" t="s">
        <v>989</v>
      </c>
      <c r="B60" s="1" t="s">
        <v>990</v>
      </c>
      <c r="C60" s="1" t="s">
        <v>261</v>
      </c>
      <c r="D60" s="1" t="s">
        <v>991</v>
      </c>
    </row>
    <row r="61" ht="15.75" customHeight="1">
      <c r="A61" s="1" t="s">
        <v>992</v>
      </c>
      <c r="B61" s="1" t="s">
        <v>993</v>
      </c>
      <c r="C61" s="1" t="s">
        <v>261</v>
      </c>
      <c r="D61" s="1" t="s">
        <v>994</v>
      </c>
    </row>
    <row r="62" ht="15.75" customHeight="1">
      <c r="A62" s="1" t="s">
        <v>995</v>
      </c>
      <c r="B62" s="1" t="s">
        <v>996</v>
      </c>
      <c r="C62" s="1" t="s">
        <v>261</v>
      </c>
      <c r="D62" s="1" t="s">
        <v>997</v>
      </c>
    </row>
    <row r="63" ht="15.75" customHeight="1">
      <c r="A63" s="1" t="s">
        <v>998</v>
      </c>
      <c r="B63" s="1" t="s">
        <v>999</v>
      </c>
      <c r="C63" s="1" t="s">
        <v>261</v>
      </c>
      <c r="D63" s="1" t="s">
        <v>1000</v>
      </c>
    </row>
    <row r="64" ht="15.75" customHeight="1">
      <c r="A64" s="1" t="s">
        <v>1001</v>
      </c>
      <c r="B64" s="1" t="s">
        <v>1002</v>
      </c>
      <c r="C64" s="1" t="s">
        <v>261</v>
      </c>
      <c r="D64" s="1" t="s">
        <v>1003</v>
      </c>
    </row>
    <row r="65" ht="15.75" customHeight="1">
      <c r="A65" s="1" t="s">
        <v>1004</v>
      </c>
      <c r="B65" s="1" t="s">
        <v>1005</v>
      </c>
      <c r="C65" s="1" t="s">
        <v>261</v>
      </c>
      <c r="D65" s="1" t="s">
        <v>1006</v>
      </c>
    </row>
    <row r="66" ht="15.75" customHeight="1">
      <c r="A66" s="1" t="s">
        <v>1007</v>
      </c>
      <c r="B66" s="1" t="s">
        <v>1008</v>
      </c>
      <c r="C66" s="1" t="s">
        <v>261</v>
      </c>
      <c r="D66" s="1" t="s">
        <v>1009</v>
      </c>
    </row>
    <row r="67" ht="15.75" customHeight="1">
      <c r="A67" s="1" t="s">
        <v>1010</v>
      </c>
      <c r="B67" s="1" t="s">
        <v>1011</v>
      </c>
      <c r="C67" s="1" t="s">
        <v>261</v>
      </c>
      <c r="D67" s="1" t="s">
        <v>1012</v>
      </c>
    </row>
    <row r="68" ht="15.75" customHeight="1">
      <c r="A68" s="1" t="s">
        <v>1013</v>
      </c>
      <c r="B68" s="1" t="s">
        <v>1014</v>
      </c>
      <c r="C68" s="1" t="s">
        <v>261</v>
      </c>
      <c r="D68" s="1" t="s">
        <v>1015</v>
      </c>
    </row>
    <row r="69" ht="15.75" customHeight="1">
      <c r="A69" s="1" t="s">
        <v>1016</v>
      </c>
      <c r="B69" s="1" t="s">
        <v>1017</v>
      </c>
      <c r="C69" s="1" t="s">
        <v>261</v>
      </c>
      <c r="D69" s="1" t="s">
        <v>1018</v>
      </c>
    </row>
    <row r="70" ht="15.75" customHeight="1">
      <c r="A70" s="1" t="s">
        <v>1019</v>
      </c>
      <c r="B70" s="1" t="s">
        <v>1020</v>
      </c>
      <c r="C70" s="1" t="s">
        <v>261</v>
      </c>
      <c r="D70" s="1" t="s">
        <v>1021</v>
      </c>
    </row>
    <row r="71" ht="15.75" customHeight="1">
      <c r="A71" s="1" t="s">
        <v>1022</v>
      </c>
      <c r="B71" s="1" t="s">
        <v>1023</v>
      </c>
      <c r="C71" s="1" t="s">
        <v>261</v>
      </c>
      <c r="D71" s="1" t="s">
        <v>1024</v>
      </c>
    </row>
    <row r="72" ht="15.75" customHeight="1">
      <c r="A72" s="1" t="s">
        <v>1025</v>
      </c>
      <c r="B72" s="1" t="s">
        <v>1026</v>
      </c>
      <c r="C72" s="1" t="s">
        <v>261</v>
      </c>
      <c r="D72" s="1" t="s">
        <v>1027</v>
      </c>
    </row>
    <row r="73" ht="15.75" customHeight="1">
      <c r="A73" s="1" t="s">
        <v>1028</v>
      </c>
      <c r="B73" s="1" t="s">
        <v>1029</v>
      </c>
      <c r="C73" s="1" t="s">
        <v>261</v>
      </c>
      <c r="D73" s="1" t="s">
        <v>1030</v>
      </c>
    </row>
    <row r="74" ht="15.75" customHeight="1">
      <c r="A74" s="1" t="s">
        <v>1031</v>
      </c>
      <c r="B74" s="1" t="s">
        <v>1032</v>
      </c>
      <c r="C74" s="1" t="s">
        <v>261</v>
      </c>
      <c r="D74" s="1" t="s">
        <v>1033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246</v>
      </c>
      <c r="B1" s="1" t="s">
        <v>247</v>
      </c>
      <c r="C1" s="1" t="s">
        <v>248</v>
      </c>
      <c r="D1" s="1" t="s">
        <v>1034</v>
      </c>
    </row>
    <row r="2">
      <c r="A2" s="1" t="s">
        <v>1035</v>
      </c>
      <c r="B2" s="1" t="s">
        <v>1036</v>
      </c>
      <c r="C2" s="1" t="s">
        <v>252</v>
      </c>
      <c r="D2" s="1" t="s">
        <v>1037</v>
      </c>
    </row>
    <row r="3">
      <c r="A3" s="1" t="s">
        <v>1038</v>
      </c>
      <c r="B3" s="1" t="s">
        <v>1039</v>
      </c>
      <c r="C3" s="1" t="s">
        <v>252</v>
      </c>
      <c r="D3" s="1" t="s">
        <v>1040</v>
      </c>
    </row>
    <row r="4">
      <c r="A4" s="1" t="s">
        <v>1041</v>
      </c>
      <c r="B4" s="1" t="s">
        <v>1042</v>
      </c>
      <c r="C4" s="1" t="s">
        <v>252</v>
      </c>
      <c r="D4" s="1" t="s">
        <v>1043</v>
      </c>
    </row>
    <row r="5">
      <c r="A5" s="1" t="s">
        <v>1044</v>
      </c>
      <c r="B5" s="1" t="s">
        <v>1045</v>
      </c>
      <c r="C5" s="1" t="s">
        <v>252</v>
      </c>
      <c r="D5" s="1" t="s">
        <v>1046</v>
      </c>
    </row>
    <row r="6">
      <c r="A6" s="1" t="s">
        <v>1047</v>
      </c>
      <c r="B6" s="1" t="s">
        <v>1048</v>
      </c>
      <c r="C6" s="1" t="s">
        <v>252</v>
      </c>
      <c r="D6" s="1" t="s">
        <v>1049</v>
      </c>
    </row>
    <row r="7">
      <c r="A7" s="1" t="s">
        <v>1050</v>
      </c>
      <c r="B7" s="1" t="s">
        <v>1051</v>
      </c>
      <c r="C7" s="1" t="s">
        <v>252</v>
      </c>
      <c r="D7" s="1" t="s">
        <v>1052</v>
      </c>
    </row>
    <row r="8">
      <c r="A8" s="1" t="s">
        <v>1053</v>
      </c>
      <c r="B8" s="1" t="s">
        <v>1054</v>
      </c>
      <c r="C8" s="1" t="s">
        <v>252</v>
      </c>
      <c r="D8" s="1" t="s">
        <v>1055</v>
      </c>
    </row>
    <row r="9">
      <c r="A9" s="1" t="s">
        <v>1056</v>
      </c>
      <c r="B9" s="1" t="s">
        <v>1057</v>
      </c>
      <c r="C9" s="1" t="s">
        <v>252</v>
      </c>
      <c r="D9" s="1" t="s">
        <v>1058</v>
      </c>
    </row>
    <row r="10">
      <c r="A10" s="1" t="s">
        <v>1059</v>
      </c>
      <c r="B10" s="1" t="s">
        <v>1060</v>
      </c>
      <c r="C10" s="1" t="s">
        <v>261</v>
      </c>
      <c r="D10" s="1" t="s">
        <v>1061</v>
      </c>
    </row>
    <row r="11">
      <c r="A11" s="1" t="s">
        <v>1062</v>
      </c>
      <c r="B11" s="1" t="s">
        <v>1063</v>
      </c>
      <c r="C11" s="1" t="s">
        <v>261</v>
      </c>
      <c r="D11" s="1" t="s">
        <v>1064</v>
      </c>
    </row>
    <row r="12">
      <c r="A12" s="1" t="s">
        <v>1065</v>
      </c>
      <c r="B12" s="1" t="s">
        <v>1066</v>
      </c>
      <c r="C12" s="1" t="s">
        <v>261</v>
      </c>
      <c r="D12" s="1" t="s">
        <v>1067</v>
      </c>
    </row>
    <row r="13">
      <c r="A13" s="1" t="s">
        <v>1068</v>
      </c>
      <c r="B13" s="1" t="s">
        <v>1069</v>
      </c>
      <c r="C13" s="1" t="s">
        <v>261</v>
      </c>
      <c r="D13" s="1" t="s">
        <v>1070</v>
      </c>
    </row>
    <row r="14">
      <c r="A14" s="1" t="s">
        <v>1071</v>
      </c>
      <c r="B14" s="1" t="s">
        <v>1072</v>
      </c>
      <c r="C14" s="1" t="s">
        <v>261</v>
      </c>
      <c r="D14" s="1" t="s">
        <v>1073</v>
      </c>
    </row>
    <row r="15">
      <c r="A15" s="1" t="s">
        <v>1074</v>
      </c>
      <c r="B15" s="1" t="s">
        <v>1075</v>
      </c>
      <c r="C15" s="1" t="s">
        <v>261</v>
      </c>
      <c r="D15" s="1" t="s">
        <v>1076</v>
      </c>
    </row>
    <row r="16">
      <c r="A16" s="1" t="s">
        <v>1077</v>
      </c>
      <c r="B16" s="1" t="s">
        <v>1078</v>
      </c>
      <c r="C16" s="1" t="s">
        <v>261</v>
      </c>
      <c r="D16" s="1" t="s">
        <v>1079</v>
      </c>
    </row>
    <row r="17">
      <c r="A17" s="1" t="s">
        <v>1080</v>
      </c>
      <c r="B17" s="1" t="s">
        <v>1081</v>
      </c>
      <c r="C17" s="1" t="s">
        <v>261</v>
      </c>
      <c r="D17" s="1" t="s">
        <v>1082</v>
      </c>
    </row>
    <row r="18">
      <c r="A18" s="1" t="s">
        <v>1083</v>
      </c>
      <c r="B18" s="1" t="s">
        <v>1084</v>
      </c>
      <c r="C18" s="1" t="s">
        <v>261</v>
      </c>
      <c r="D18" s="1" t="s">
        <v>1085</v>
      </c>
    </row>
    <row r="19">
      <c r="A19" s="1" t="s">
        <v>1086</v>
      </c>
      <c r="B19" s="1" t="s">
        <v>1087</v>
      </c>
      <c r="C19" s="1" t="s">
        <v>261</v>
      </c>
      <c r="D19" s="1" t="s">
        <v>1088</v>
      </c>
    </row>
    <row r="20">
      <c r="A20" s="1" t="s">
        <v>1089</v>
      </c>
      <c r="B20" s="1" t="s">
        <v>1090</v>
      </c>
      <c r="C20" s="1" t="s">
        <v>261</v>
      </c>
      <c r="D20" s="1" t="s">
        <v>1091</v>
      </c>
    </row>
    <row r="21" ht="15.75" customHeight="1">
      <c r="A21" s="1" t="s">
        <v>1092</v>
      </c>
      <c r="B21" s="1" t="s">
        <v>1093</v>
      </c>
      <c r="C21" s="1" t="s">
        <v>261</v>
      </c>
      <c r="D21" s="1" t="s">
        <v>1094</v>
      </c>
    </row>
    <row r="22" ht="15.75" customHeight="1">
      <c r="A22" s="1" t="s">
        <v>1095</v>
      </c>
      <c r="B22" s="1" t="s">
        <v>1096</v>
      </c>
      <c r="C22" s="1" t="s">
        <v>252</v>
      </c>
      <c r="D22" s="1" t="s">
        <v>1097</v>
      </c>
    </row>
    <row r="23" ht="15.75" customHeight="1">
      <c r="A23" s="1" t="s">
        <v>1098</v>
      </c>
      <c r="B23" s="1" t="s">
        <v>1099</v>
      </c>
      <c r="C23" s="1" t="s">
        <v>252</v>
      </c>
      <c r="D23" s="1" t="s">
        <v>1100</v>
      </c>
    </row>
    <row r="24" ht="15.75" customHeight="1">
      <c r="A24" s="1" t="s">
        <v>1101</v>
      </c>
      <c r="B24" s="1" t="s">
        <v>1102</v>
      </c>
      <c r="C24" s="1" t="s">
        <v>252</v>
      </c>
      <c r="D24" s="1" t="s">
        <v>1103</v>
      </c>
    </row>
    <row r="25" ht="15.75" customHeight="1">
      <c r="A25" s="1" t="s">
        <v>1104</v>
      </c>
      <c r="B25" s="1" t="s">
        <v>1105</v>
      </c>
      <c r="C25" s="1" t="s">
        <v>252</v>
      </c>
      <c r="D25" s="1" t="s">
        <v>1106</v>
      </c>
    </row>
    <row r="26" ht="15.75" customHeight="1">
      <c r="A26" s="1" t="s">
        <v>1107</v>
      </c>
      <c r="B26" s="1" t="s">
        <v>1108</v>
      </c>
      <c r="C26" s="1" t="s">
        <v>252</v>
      </c>
      <c r="D26" s="1" t="s">
        <v>1109</v>
      </c>
    </row>
    <row r="27" ht="15.75" customHeight="1">
      <c r="A27" s="1" t="s">
        <v>1110</v>
      </c>
      <c r="B27" s="1" t="s">
        <v>1111</v>
      </c>
      <c r="C27" s="1" t="s">
        <v>252</v>
      </c>
      <c r="D27" s="1" t="s">
        <v>1112</v>
      </c>
    </row>
    <row r="28" ht="15.75" customHeight="1">
      <c r="A28" s="1" t="s">
        <v>1113</v>
      </c>
      <c r="B28" s="1" t="s">
        <v>1114</v>
      </c>
      <c r="C28" s="1" t="s">
        <v>261</v>
      </c>
      <c r="D28" s="1" t="s">
        <v>1115</v>
      </c>
    </row>
    <row r="29" ht="15.75" customHeight="1">
      <c r="A29" s="1" t="s">
        <v>1116</v>
      </c>
      <c r="B29" s="1" t="s">
        <v>1117</v>
      </c>
      <c r="C29" s="1" t="s">
        <v>261</v>
      </c>
      <c r="D29" s="1" t="s">
        <v>1118</v>
      </c>
    </row>
    <row r="30" ht="15.75" customHeight="1">
      <c r="A30" s="1" t="s">
        <v>1119</v>
      </c>
      <c r="B30" s="1" t="s">
        <v>1120</v>
      </c>
      <c r="C30" s="1" t="s">
        <v>261</v>
      </c>
      <c r="D30" s="1" t="s">
        <v>1121</v>
      </c>
    </row>
    <row r="31" ht="15.75" customHeight="1">
      <c r="A31" s="1" t="s">
        <v>1122</v>
      </c>
      <c r="B31" s="1" t="s">
        <v>1123</v>
      </c>
      <c r="C31" s="1" t="s">
        <v>261</v>
      </c>
      <c r="D31" s="1" t="s">
        <v>1124</v>
      </c>
    </row>
    <row r="32" ht="15.75" customHeight="1">
      <c r="A32" s="1" t="s">
        <v>1125</v>
      </c>
      <c r="B32" s="1" t="s">
        <v>1126</v>
      </c>
      <c r="C32" s="1" t="s">
        <v>261</v>
      </c>
      <c r="D32" s="1" t="s">
        <v>1127</v>
      </c>
    </row>
    <row r="33" ht="15.75" customHeight="1">
      <c r="A33" s="1" t="s">
        <v>1128</v>
      </c>
      <c r="B33" s="1" t="s">
        <v>1129</v>
      </c>
      <c r="C33" s="1" t="s">
        <v>261</v>
      </c>
      <c r="D33" s="1" t="s">
        <v>1130</v>
      </c>
    </row>
    <row r="34" ht="15.75" customHeight="1">
      <c r="A34" s="1" t="s">
        <v>1131</v>
      </c>
      <c r="B34" s="1" t="s">
        <v>1132</v>
      </c>
      <c r="C34" s="1" t="s">
        <v>261</v>
      </c>
      <c r="D34" s="1" t="s">
        <v>1133</v>
      </c>
    </row>
    <row r="35" ht="15.75" customHeight="1">
      <c r="A35" s="1" t="s">
        <v>1134</v>
      </c>
      <c r="B35" s="1" t="s">
        <v>1135</v>
      </c>
      <c r="C35" s="1" t="s">
        <v>261</v>
      </c>
      <c r="D35" s="1" t="s">
        <v>1136</v>
      </c>
    </row>
    <row r="36" ht="15.75" customHeight="1">
      <c r="A36" s="1" t="s">
        <v>1137</v>
      </c>
      <c r="B36" s="1" t="s">
        <v>1138</v>
      </c>
      <c r="C36" s="1" t="s">
        <v>261</v>
      </c>
      <c r="D36" s="1" t="s">
        <v>1139</v>
      </c>
    </row>
    <row r="37" ht="15.75" customHeight="1">
      <c r="A37" s="1" t="s">
        <v>1140</v>
      </c>
      <c r="B37" s="1" t="s">
        <v>1141</v>
      </c>
      <c r="C37" s="1" t="s">
        <v>261</v>
      </c>
      <c r="D37" s="1" t="s">
        <v>1142</v>
      </c>
    </row>
    <row r="38" ht="15.75" customHeight="1">
      <c r="A38" s="1" t="s">
        <v>1143</v>
      </c>
      <c r="B38" s="1" t="s">
        <v>1144</v>
      </c>
      <c r="C38" s="1" t="s">
        <v>261</v>
      </c>
      <c r="D38" s="1" t="s">
        <v>1145</v>
      </c>
    </row>
    <row r="39" ht="15.75" customHeight="1">
      <c r="A39" s="1" t="s">
        <v>1146</v>
      </c>
      <c r="B39" s="1" t="s">
        <v>1147</v>
      </c>
      <c r="C39" s="1" t="s">
        <v>261</v>
      </c>
      <c r="D39" s="1" t="s">
        <v>1121</v>
      </c>
    </row>
    <row r="40" ht="15.75" customHeight="1">
      <c r="A40" s="1" t="s">
        <v>1148</v>
      </c>
      <c r="B40" s="1" t="s">
        <v>1149</v>
      </c>
      <c r="C40" s="1" t="s">
        <v>261</v>
      </c>
      <c r="D40" s="1" t="s">
        <v>1150</v>
      </c>
    </row>
    <row r="41" ht="15.75" customHeight="1">
      <c r="A41" s="1" t="s">
        <v>1151</v>
      </c>
      <c r="B41" s="1" t="s">
        <v>1152</v>
      </c>
      <c r="C41" s="1" t="s">
        <v>252</v>
      </c>
      <c r="D41" s="1" t="s">
        <v>1153</v>
      </c>
    </row>
    <row r="42" ht="15.75" customHeight="1">
      <c r="A42" s="1" t="s">
        <v>1154</v>
      </c>
      <c r="B42" s="1" t="s">
        <v>1155</v>
      </c>
      <c r="C42" s="1" t="s">
        <v>252</v>
      </c>
      <c r="D42" s="1" t="s">
        <v>1156</v>
      </c>
    </row>
    <row r="43" ht="15.75" customHeight="1">
      <c r="A43" s="1" t="s">
        <v>1157</v>
      </c>
      <c r="B43" s="1" t="s">
        <v>1158</v>
      </c>
      <c r="C43" s="1" t="s">
        <v>252</v>
      </c>
      <c r="D43" s="1" t="s">
        <v>1159</v>
      </c>
    </row>
    <row r="44" ht="15.75" customHeight="1">
      <c r="A44" s="1" t="s">
        <v>1160</v>
      </c>
      <c r="B44" s="1" t="s">
        <v>1161</v>
      </c>
      <c r="C44" s="1" t="s">
        <v>252</v>
      </c>
      <c r="D44" s="1" t="s">
        <v>1162</v>
      </c>
    </row>
    <row r="45" ht="15.75" customHeight="1">
      <c r="A45" s="1" t="s">
        <v>1163</v>
      </c>
      <c r="B45" s="1" t="s">
        <v>1164</v>
      </c>
      <c r="C45" s="1" t="s">
        <v>261</v>
      </c>
      <c r="D45" s="1" t="s">
        <v>1165</v>
      </c>
    </row>
    <row r="46" ht="15.75" customHeight="1">
      <c r="A46" s="1" t="s">
        <v>1166</v>
      </c>
      <c r="B46" s="1" t="s">
        <v>1167</v>
      </c>
      <c r="C46" s="1" t="s">
        <v>261</v>
      </c>
      <c r="D46" s="1" t="s">
        <v>1168</v>
      </c>
    </row>
    <row r="47" ht="15.75" customHeight="1">
      <c r="A47" s="1" t="s">
        <v>1169</v>
      </c>
      <c r="B47" s="1" t="s">
        <v>1170</v>
      </c>
      <c r="C47" s="1" t="s">
        <v>261</v>
      </c>
      <c r="D47" s="1" t="s">
        <v>1171</v>
      </c>
    </row>
    <row r="48" ht="15.75" customHeight="1">
      <c r="A48" s="1" t="s">
        <v>1172</v>
      </c>
      <c r="B48" s="1" t="s">
        <v>1173</v>
      </c>
      <c r="C48" s="1" t="s">
        <v>261</v>
      </c>
      <c r="D48" s="1" t="s">
        <v>1174</v>
      </c>
    </row>
    <row r="49" ht="15.75" customHeight="1">
      <c r="A49" s="1" t="s">
        <v>1175</v>
      </c>
      <c r="B49" s="1" t="s">
        <v>1176</v>
      </c>
      <c r="C49" s="1" t="s">
        <v>261</v>
      </c>
      <c r="D49" s="1" t="s">
        <v>1121</v>
      </c>
    </row>
    <row r="50" ht="15.75" customHeight="1">
      <c r="A50" s="1" t="s">
        <v>1177</v>
      </c>
      <c r="B50" s="1" t="s">
        <v>1178</v>
      </c>
      <c r="C50" s="1" t="s">
        <v>261</v>
      </c>
      <c r="D50" s="1" t="s">
        <v>1179</v>
      </c>
    </row>
    <row r="51" ht="15.75" customHeight="1">
      <c r="A51" s="1" t="s">
        <v>1180</v>
      </c>
      <c r="B51" s="1" t="s">
        <v>1181</v>
      </c>
      <c r="C51" s="1" t="s">
        <v>261</v>
      </c>
      <c r="D51" s="1" t="s">
        <v>1182</v>
      </c>
    </row>
    <row r="52" ht="15.75" customHeight="1">
      <c r="A52" s="1" t="s">
        <v>1183</v>
      </c>
      <c r="B52" s="1" t="s">
        <v>1184</v>
      </c>
      <c r="C52" s="1" t="s">
        <v>261</v>
      </c>
      <c r="D52" s="1" t="s">
        <v>1185</v>
      </c>
    </row>
    <row r="53" ht="15.75" customHeight="1">
      <c r="A53" s="1" t="s">
        <v>1186</v>
      </c>
      <c r="B53" s="1" t="s">
        <v>1187</v>
      </c>
      <c r="C53" s="1" t="s">
        <v>252</v>
      </c>
      <c r="D53" s="1" t="s">
        <v>1188</v>
      </c>
    </row>
    <row r="54" ht="15.75" customHeight="1">
      <c r="A54" s="1" t="s">
        <v>1189</v>
      </c>
      <c r="B54" s="1" t="s">
        <v>1190</v>
      </c>
      <c r="C54" s="1" t="s">
        <v>261</v>
      </c>
      <c r="D54" s="1" t="s">
        <v>1191</v>
      </c>
    </row>
    <row r="55" ht="15.75" customHeight="1">
      <c r="A55" s="1" t="s">
        <v>1192</v>
      </c>
      <c r="B55" s="1" t="s">
        <v>1193</v>
      </c>
      <c r="C55" s="1" t="s">
        <v>252</v>
      </c>
      <c r="D55" s="1" t="s">
        <v>1194</v>
      </c>
    </row>
    <row r="56" ht="15.75" customHeight="1">
      <c r="A56" s="1" t="s">
        <v>1195</v>
      </c>
      <c r="B56" s="1" t="s">
        <v>1196</v>
      </c>
      <c r="C56" s="1" t="s">
        <v>252</v>
      </c>
      <c r="D56" s="1" t="s">
        <v>1197</v>
      </c>
    </row>
    <row r="57" ht="15.75" customHeight="1">
      <c r="A57" s="1" t="s">
        <v>1198</v>
      </c>
      <c r="B57" s="1" t="s">
        <v>1199</v>
      </c>
      <c r="C57" s="1" t="s">
        <v>252</v>
      </c>
      <c r="D57" s="1" t="s">
        <v>1200</v>
      </c>
    </row>
    <row r="58" ht="15.75" customHeight="1">
      <c r="A58" s="1" t="s">
        <v>1201</v>
      </c>
      <c r="B58" s="1" t="s">
        <v>1202</v>
      </c>
      <c r="C58" s="1" t="s">
        <v>261</v>
      </c>
      <c r="D58" s="1" t="s">
        <v>1203</v>
      </c>
    </row>
    <row r="59" ht="15.75" customHeight="1">
      <c r="A59" s="1" t="s">
        <v>1204</v>
      </c>
      <c r="B59" s="1" t="s">
        <v>1205</v>
      </c>
      <c r="C59" s="1" t="s">
        <v>261</v>
      </c>
      <c r="D59" s="1" t="s">
        <v>1206</v>
      </c>
    </row>
    <row r="60" ht="15.75" customHeight="1">
      <c r="A60" s="1" t="s">
        <v>1207</v>
      </c>
      <c r="B60" s="1" t="s">
        <v>1208</v>
      </c>
      <c r="C60" s="1" t="s">
        <v>261</v>
      </c>
      <c r="D60" s="1" t="s">
        <v>1209</v>
      </c>
    </row>
    <row r="61" ht="15.75" customHeight="1">
      <c r="A61" s="1" t="s">
        <v>1210</v>
      </c>
      <c r="B61" s="1" t="s">
        <v>1211</v>
      </c>
      <c r="C61" s="1" t="s">
        <v>261</v>
      </c>
      <c r="D61" s="1" t="s">
        <v>1212</v>
      </c>
    </row>
    <row r="62" ht="15.75" customHeight="1">
      <c r="A62" s="1" t="s">
        <v>1213</v>
      </c>
      <c r="B62" s="1" t="s">
        <v>1214</v>
      </c>
      <c r="C62" s="1" t="s">
        <v>261</v>
      </c>
      <c r="D62" s="1" t="s">
        <v>1215</v>
      </c>
    </row>
    <row r="63" ht="15.75" customHeight="1">
      <c r="A63" s="1" t="s">
        <v>1216</v>
      </c>
      <c r="B63" s="1" t="s">
        <v>1217</v>
      </c>
      <c r="C63" s="1" t="s">
        <v>261</v>
      </c>
      <c r="D63" s="1" t="s">
        <v>1218</v>
      </c>
    </row>
    <row r="64" ht="15.75" customHeight="1">
      <c r="A64" s="1" t="s">
        <v>1219</v>
      </c>
      <c r="B64" s="1" t="s">
        <v>1220</v>
      </c>
      <c r="C64" s="1" t="s">
        <v>261</v>
      </c>
      <c r="D64" s="1" t="s">
        <v>1221</v>
      </c>
    </row>
    <row r="65" ht="15.75" customHeight="1">
      <c r="A65" s="1" t="s">
        <v>1222</v>
      </c>
      <c r="B65" s="1" t="s">
        <v>1223</v>
      </c>
      <c r="C65" s="1" t="s">
        <v>252</v>
      </c>
      <c r="D65" s="1" t="s">
        <v>1224</v>
      </c>
    </row>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246</v>
      </c>
      <c r="B1" s="1" t="s">
        <v>247</v>
      </c>
      <c r="C1" s="1" t="s">
        <v>1225</v>
      </c>
      <c r="D1" s="1" t="s">
        <v>1034</v>
      </c>
    </row>
    <row r="2">
      <c r="A2" s="1" t="s">
        <v>1226</v>
      </c>
      <c r="B2" s="1" t="s">
        <v>1227</v>
      </c>
      <c r="C2" s="1" t="s">
        <v>261</v>
      </c>
      <c r="D2" s="1" t="s">
        <v>1228</v>
      </c>
    </row>
    <row r="3">
      <c r="A3" s="1" t="s">
        <v>1229</v>
      </c>
      <c r="B3" s="1" t="s">
        <v>1230</v>
      </c>
      <c r="C3" s="1" t="s">
        <v>261</v>
      </c>
      <c r="D3" s="1" t="s">
        <v>1231</v>
      </c>
    </row>
    <row r="4">
      <c r="A4" s="1" t="s">
        <v>1232</v>
      </c>
      <c r="B4" s="1" t="s">
        <v>1233</v>
      </c>
      <c r="C4" s="1" t="s">
        <v>261</v>
      </c>
      <c r="D4" s="1" t="s">
        <v>1234</v>
      </c>
    </row>
    <row r="5">
      <c r="A5" s="1" t="s">
        <v>1235</v>
      </c>
      <c r="B5" s="1" t="s">
        <v>1236</v>
      </c>
      <c r="C5" s="1" t="s">
        <v>261</v>
      </c>
      <c r="D5" s="1" t="s">
        <v>1237</v>
      </c>
    </row>
    <row r="6">
      <c r="A6" s="1" t="s">
        <v>1238</v>
      </c>
      <c r="B6" s="1" t="s">
        <v>1239</v>
      </c>
      <c r="C6" s="1" t="s">
        <v>261</v>
      </c>
      <c r="D6" s="1" t="s">
        <v>1240</v>
      </c>
    </row>
    <row r="7">
      <c r="A7" s="1" t="s">
        <v>1241</v>
      </c>
      <c r="B7" s="1" t="s">
        <v>1242</v>
      </c>
      <c r="C7" s="1" t="s">
        <v>261</v>
      </c>
      <c r="D7" s="1" t="s">
        <v>1243</v>
      </c>
    </row>
    <row r="8">
      <c r="A8" s="1" t="s">
        <v>1244</v>
      </c>
      <c r="B8" s="1" t="s">
        <v>1245</v>
      </c>
      <c r="C8" s="1" t="s">
        <v>261</v>
      </c>
      <c r="D8" s="1" t="s">
        <v>1246</v>
      </c>
    </row>
    <row r="9">
      <c r="A9" s="1" t="s">
        <v>1247</v>
      </c>
      <c r="B9" s="1" t="s">
        <v>1248</v>
      </c>
      <c r="C9" s="1" t="s">
        <v>261</v>
      </c>
      <c r="D9" s="1" t="s">
        <v>1249</v>
      </c>
    </row>
    <row r="10">
      <c r="A10" s="1" t="s">
        <v>1250</v>
      </c>
      <c r="B10" s="1" t="s">
        <v>1251</v>
      </c>
      <c r="C10" s="1" t="s">
        <v>261</v>
      </c>
      <c r="D10" s="1" t="s">
        <v>1252</v>
      </c>
    </row>
    <row r="11">
      <c r="A11" s="1" t="s">
        <v>1253</v>
      </c>
      <c r="B11" s="1" t="s">
        <v>1254</v>
      </c>
      <c r="C11" s="1" t="s">
        <v>261</v>
      </c>
      <c r="D11" s="1" t="s">
        <v>1255</v>
      </c>
    </row>
    <row r="12">
      <c r="A12" s="1" t="s">
        <v>1256</v>
      </c>
      <c r="B12" s="1" t="s">
        <v>1257</v>
      </c>
      <c r="C12" s="1" t="s">
        <v>261</v>
      </c>
      <c r="D12" s="1" t="s">
        <v>1258</v>
      </c>
    </row>
    <row r="13">
      <c r="A13" s="1" t="s">
        <v>1259</v>
      </c>
      <c r="B13" s="1" t="s">
        <v>1260</v>
      </c>
      <c r="C13" s="1" t="s">
        <v>261</v>
      </c>
      <c r="D13" s="1" t="s">
        <v>1261</v>
      </c>
    </row>
    <row r="14">
      <c r="A14" s="1" t="s">
        <v>1262</v>
      </c>
      <c r="B14" s="1" t="s">
        <v>1263</v>
      </c>
      <c r="C14" s="1" t="s">
        <v>261</v>
      </c>
      <c r="D14" s="1" t="s">
        <v>1264</v>
      </c>
    </row>
    <row r="15">
      <c r="A15" s="1" t="s">
        <v>1265</v>
      </c>
      <c r="B15" s="1" t="s">
        <v>1266</v>
      </c>
      <c r="C15" s="1" t="s">
        <v>261</v>
      </c>
      <c r="D15" s="1" t="s">
        <v>1267</v>
      </c>
    </row>
    <row r="16">
      <c r="A16" s="1" t="s">
        <v>1268</v>
      </c>
      <c r="B16" s="1" t="s">
        <v>1269</v>
      </c>
      <c r="C16" s="1" t="s">
        <v>261</v>
      </c>
      <c r="D16" s="1" t="s">
        <v>1270</v>
      </c>
    </row>
    <row r="17">
      <c r="A17" s="1" t="s">
        <v>1271</v>
      </c>
      <c r="B17" s="1" t="s">
        <v>1272</v>
      </c>
      <c r="C17" s="1" t="s">
        <v>261</v>
      </c>
      <c r="D17" s="1" t="s">
        <v>1273</v>
      </c>
    </row>
    <row r="18">
      <c r="A18" s="1" t="s">
        <v>1274</v>
      </c>
      <c r="B18" s="1" t="s">
        <v>1275</v>
      </c>
      <c r="C18" s="1" t="s">
        <v>261</v>
      </c>
      <c r="D18" s="1" t="s">
        <v>1276</v>
      </c>
    </row>
    <row r="19">
      <c r="A19" s="1" t="s">
        <v>1277</v>
      </c>
      <c r="B19" s="1" t="s">
        <v>1278</v>
      </c>
      <c r="C19" s="1" t="s">
        <v>261</v>
      </c>
      <c r="D19" s="1" t="s">
        <v>1279</v>
      </c>
    </row>
    <row r="20">
      <c r="A20" s="1" t="s">
        <v>1280</v>
      </c>
      <c r="B20" s="1" t="s">
        <v>1281</v>
      </c>
      <c r="C20" s="1" t="s">
        <v>261</v>
      </c>
      <c r="D20" s="1" t="s">
        <v>1282</v>
      </c>
    </row>
    <row r="21" ht="15.75" customHeight="1">
      <c r="A21" s="1" t="s">
        <v>1283</v>
      </c>
      <c r="B21" s="1" t="s">
        <v>1284</v>
      </c>
      <c r="C21" s="1" t="s">
        <v>261</v>
      </c>
      <c r="D21" s="1" t="s">
        <v>1285</v>
      </c>
    </row>
    <row r="22" ht="15.75" customHeight="1">
      <c r="A22" s="1" t="s">
        <v>1286</v>
      </c>
      <c r="B22" s="1" t="s">
        <v>1287</v>
      </c>
      <c r="C22" s="1" t="s">
        <v>252</v>
      </c>
      <c r="D22" s="1" t="s">
        <v>1288</v>
      </c>
    </row>
    <row r="23" ht="15.75" customHeight="1">
      <c r="A23" s="1" t="s">
        <v>1289</v>
      </c>
      <c r="B23" s="1" t="s">
        <v>1290</v>
      </c>
      <c r="C23" s="1" t="s">
        <v>252</v>
      </c>
      <c r="D23" s="1" t="s">
        <v>1291</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